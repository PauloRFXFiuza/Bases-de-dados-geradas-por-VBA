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\Documents\Exercícios de Excel\"/>
    </mc:Choice>
  </mc:AlternateContent>
  <xr:revisionPtr revIDLastSave="0" documentId="13_ncr:1_{33E2A443-4BE4-40C9-8FA3-744A683A2277}" xr6:coauthVersionLast="47" xr6:coauthVersionMax="47" xr10:uidLastSave="{00000000-0000-0000-0000-000000000000}"/>
  <bookViews>
    <workbookView xWindow="-120" yWindow="-120" windowWidth="29040" windowHeight="15720" activeTab="1" xr2:uid="{42F2FAA0-D040-46B2-9589-43CB800C1E4D}"/>
  </bookViews>
  <sheets>
    <sheet name="Planilha2" sheetId="2" r:id="rId1"/>
    <sheet name="Planilha3" sheetId="3" r:id="rId2"/>
    <sheet name="Planilha1" sheetId="1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3" l="1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D15" i="3"/>
  <c r="D53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2" i="3"/>
  <c r="O739" i="3"/>
  <c r="N739" i="3"/>
  <c r="O738" i="3"/>
  <c r="N738" i="3"/>
  <c r="O737" i="3"/>
  <c r="N737" i="3"/>
  <c r="O736" i="3"/>
  <c r="N736" i="3"/>
  <c r="O735" i="3"/>
  <c r="N735" i="3"/>
  <c r="O734" i="3"/>
  <c r="N734" i="3"/>
  <c r="O733" i="3"/>
  <c r="N733" i="3"/>
  <c r="O732" i="3"/>
  <c r="N732" i="3"/>
  <c r="O731" i="3"/>
  <c r="N731" i="3"/>
  <c r="O730" i="3"/>
  <c r="N730" i="3"/>
  <c r="O729" i="3"/>
  <c r="N729" i="3"/>
  <c r="O728" i="3"/>
  <c r="N728" i="3"/>
  <c r="O727" i="3"/>
  <c r="N727" i="3"/>
  <c r="O726" i="3"/>
  <c r="N726" i="3"/>
  <c r="O725" i="3"/>
  <c r="N725" i="3"/>
  <c r="O724" i="3"/>
  <c r="N724" i="3"/>
  <c r="O723" i="3"/>
  <c r="N723" i="3"/>
  <c r="O722" i="3"/>
  <c r="N722" i="3"/>
  <c r="O721" i="3"/>
  <c r="N721" i="3"/>
  <c r="O720" i="3"/>
  <c r="N720" i="3"/>
  <c r="O719" i="3"/>
  <c r="N719" i="3"/>
  <c r="O718" i="3"/>
  <c r="N718" i="3"/>
  <c r="O717" i="3"/>
  <c r="N717" i="3"/>
  <c r="O716" i="3"/>
  <c r="N716" i="3"/>
  <c r="O715" i="3"/>
  <c r="N715" i="3"/>
  <c r="O714" i="3"/>
  <c r="N714" i="3"/>
  <c r="O713" i="3"/>
  <c r="N713" i="3"/>
  <c r="O712" i="3"/>
  <c r="N712" i="3"/>
  <c r="O711" i="3"/>
  <c r="N711" i="3"/>
  <c r="O710" i="3"/>
  <c r="N710" i="3"/>
  <c r="O709" i="3"/>
  <c r="N709" i="3"/>
  <c r="O708" i="3"/>
  <c r="N708" i="3"/>
  <c r="O707" i="3"/>
  <c r="N707" i="3"/>
  <c r="O706" i="3"/>
  <c r="N706" i="3"/>
  <c r="O705" i="3"/>
  <c r="N705" i="3"/>
  <c r="O704" i="3"/>
  <c r="N704" i="3"/>
  <c r="O703" i="3"/>
  <c r="N703" i="3"/>
  <c r="O702" i="3"/>
  <c r="N702" i="3"/>
  <c r="O701" i="3"/>
  <c r="N701" i="3"/>
  <c r="O700" i="3"/>
  <c r="N700" i="3"/>
  <c r="O699" i="3"/>
  <c r="N699" i="3"/>
  <c r="O698" i="3"/>
  <c r="N698" i="3"/>
  <c r="O697" i="3"/>
  <c r="N697" i="3"/>
  <c r="O696" i="3"/>
  <c r="N696" i="3"/>
  <c r="O695" i="3"/>
  <c r="N695" i="3"/>
  <c r="O694" i="3"/>
  <c r="N694" i="3"/>
  <c r="O693" i="3"/>
  <c r="N693" i="3"/>
  <c r="O692" i="3"/>
  <c r="N692" i="3"/>
  <c r="O691" i="3"/>
  <c r="N691" i="3"/>
  <c r="O690" i="3"/>
  <c r="N690" i="3"/>
  <c r="O689" i="3"/>
  <c r="N689" i="3"/>
  <c r="O688" i="3"/>
  <c r="N688" i="3"/>
  <c r="O687" i="3"/>
  <c r="N687" i="3"/>
  <c r="O686" i="3"/>
  <c r="N686" i="3"/>
  <c r="O685" i="3"/>
  <c r="N685" i="3"/>
  <c r="O684" i="3"/>
  <c r="N684" i="3"/>
  <c r="O683" i="3"/>
  <c r="N683" i="3"/>
  <c r="O682" i="3"/>
  <c r="N682" i="3"/>
  <c r="O681" i="3"/>
  <c r="N681" i="3"/>
  <c r="O680" i="3"/>
  <c r="N680" i="3"/>
  <c r="O679" i="3"/>
  <c r="N679" i="3"/>
  <c r="O678" i="3"/>
  <c r="N678" i="3"/>
  <c r="O677" i="3"/>
  <c r="N677" i="3"/>
  <c r="O676" i="3"/>
  <c r="N676" i="3"/>
  <c r="O675" i="3"/>
  <c r="N675" i="3"/>
  <c r="O674" i="3"/>
  <c r="N674" i="3"/>
  <c r="O673" i="3"/>
  <c r="N673" i="3"/>
  <c r="O672" i="3"/>
  <c r="N672" i="3"/>
  <c r="O671" i="3"/>
  <c r="N671" i="3"/>
  <c r="O670" i="3"/>
  <c r="N670" i="3"/>
  <c r="O669" i="3"/>
  <c r="N669" i="3"/>
  <c r="O668" i="3"/>
  <c r="N668" i="3"/>
  <c r="O667" i="3"/>
  <c r="N667" i="3"/>
  <c r="O666" i="3"/>
  <c r="N666" i="3"/>
  <c r="O665" i="3"/>
  <c r="N665" i="3"/>
  <c r="O664" i="3"/>
  <c r="N664" i="3"/>
  <c r="O663" i="3"/>
  <c r="N663" i="3"/>
  <c r="O662" i="3"/>
  <c r="N662" i="3"/>
  <c r="O661" i="3"/>
  <c r="N661" i="3"/>
  <c r="O660" i="3"/>
  <c r="N660" i="3"/>
  <c r="O659" i="3"/>
  <c r="N659" i="3"/>
  <c r="O658" i="3"/>
  <c r="N658" i="3"/>
  <c r="O657" i="3"/>
  <c r="N657" i="3"/>
  <c r="O656" i="3"/>
  <c r="N656" i="3"/>
  <c r="O655" i="3"/>
  <c r="N655" i="3"/>
  <c r="O654" i="3"/>
  <c r="N654" i="3"/>
  <c r="O653" i="3"/>
  <c r="N653" i="3"/>
  <c r="O652" i="3"/>
  <c r="N652" i="3"/>
  <c r="O651" i="3"/>
  <c r="N651" i="3"/>
  <c r="O650" i="3"/>
  <c r="N650" i="3"/>
  <c r="O649" i="3"/>
  <c r="N649" i="3"/>
  <c r="O648" i="3"/>
  <c r="N648" i="3"/>
  <c r="O647" i="3"/>
  <c r="N647" i="3"/>
  <c r="O646" i="3"/>
  <c r="N646" i="3"/>
  <c r="O645" i="3"/>
  <c r="N645" i="3"/>
  <c r="O644" i="3"/>
  <c r="N644" i="3"/>
  <c r="O643" i="3"/>
  <c r="N643" i="3"/>
  <c r="O642" i="3"/>
  <c r="N642" i="3"/>
  <c r="O641" i="3"/>
  <c r="N641" i="3"/>
  <c r="O640" i="3"/>
  <c r="N640" i="3"/>
  <c r="O639" i="3"/>
  <c r="N639" i="3"/>
  <c r="O638" i="3"/>
  <c r="N638" i="3"/>
  <c r="O637" i="3"/>
  <c r="N637" i="3"/>
  <c r="O636" i="3"/>
  <c r="N636" i="3"/>
  <c r="O635" i="3"/>
  <c r="N635" i="3"/>
  <c r="O634" i="3"/>
  <c r="N634" i="3"/>
  <c r="O633" i="3"/>
  <c r="N633" i="3"/>
  <c r="O632" i="3"/>
  <c r="N632" i="3"/>
  <c r="O631" i="3"/>
  <c r="N631" i="3"/>
  <c r="O630" i="3"/>
  <c r="N630" i="3"/>
  <c r="O629" i="3"/>
  <c r="N629" i="3"/>
  <c r="O628" i="3"/>
  <c r="N628" i="3"/>
  <c r="O627" i="3"/>
  <c r="N627" i="3"/>
  <c r="O626" i="3"/>
  <c r="N626" i="3"/>
  <c r="O625" i="3"/>
  <c r="N625" i="3"/>
  <c r="O624" i="3"/>
  <c r="N624" i="3"/>
  <c r="O623" i="3"/>
  <c r="N623" i="3"/>
  <c r="O622" i="3"/>
  <c r="N622" i="3"/>
  <c r="O621" i="3"/>
  <c r="N621" i="3"/>
  <c r="O620" i="3"/>
  <c r="N620" i="3"/>
  <c r="O619" i="3"/>
  <c r="N619" i="3"/>
  <c r="O618" i="3"/>
  <c r="N618" i="3"/>
  <c r="O617" i="3"/>
  <c r="N617" i="3"/>
  <c r="O616" i="3"/>
  <c r="N616" i="3"/>
  <c r="O615" i="3"/>
  <c r="N615" i="3"/>
  <c r="O614" i="3"/>
  <c r="N614" i="3"/>
  <c r="O613" i="3"/>
  <c r="N613" i="3"/>
  <c r="O612" i="3"/>
  <c r="N612" i="3"/>
  <c r="O611" i="3"/>
  <c r="N611" i="3"/>
  <c r="O610" i="3"/>
  <c r="N610" i="3"/>
  <c r="O609" i="3"/>
  <c r="N609" i="3"/>
  <c r="O608" i="3"/>
  <c r="N608" i="3"/>
  <c r="O607" i="3"/>
  <c r="N607" i="3"/>
  <c r="O606" i="3"/>
  <c r="N606" i="3"/>
  <c r="O605" i="3"/>
  <c r="N605" i="3"/>
  <c r="O604" i="3"/>
  <c r="N604" i="3"/>
  <c r="O603" i="3"/>
  <c r="N603" i="3"/>
  <c r="O602" i="3"/>
  <c r="N602" i="3"/>
  <c r="O601" i="3"/>
  <c r="N601" i="3"/>
  <c r="O600" i="3"/>
  <c r="N600" i="3"/>
  <c r="O599" i="3"/>
  <c r="N599" i="3"/>
  <c r="O598" i="3"/>
  <c r="N598" i="3"/>
  <c r="O597" i="3"/>
  <c r="N597" i="3"/>
  <c r="O596" i="3"/>
  <c r="N596" i="3"/>
  <c r="O595" i="3"/>
  <c r="N595" i="3"/>
  <c r="O594" i="3"/>
  <c r="N594" i="3"/>
  <c r="O593" i="3"/>
  <c r="N593" i="3"/>
  <c r="O592" i="3"/>
  <c r="N592" i="3"/>
  <c r="O591" i="3"/>
  <c r="N591" i="3"/>
  <c r="O590" i="3"/>
  <c r="N590" i="3"/>
  <c r="O589" i="3"/>
  <c r="N589" i="3"/>
  <c r="O588" i="3"/>
  <c r="N588" i="3"/>
  <c r="O587" i="3"/>
  <c r="N587" i="3"/>
  <c r="O586" i="3"/>
  <c r="N586" i="3"/>
  <c r="O585" i="3"/>
  <c r="N585" i="3"/>
  <c r="O584" i="3"/>
  <c r="N584" i="3"/>
  <c r="O583" i="3"/>
  <c r="N583" i="3"/>
  <c r="O582" i="3"/>
  <c r="N582" i="3"/>
  <c r="O581" i="3"/>
  <c r="N581" i="3"/>
  <c r="O580" i="3"/>
  <c r="N580" i="3"/>
  <c r="O579" i="3"/>
  <c r="N579" i="3"/>
  <c r="O578" i="3"/>
  <c r="N578" i="3"/>
  <c r="O577" i="3"/>
  <c r="N577" i="3"/>
  <c r="O576" i="3"/>
  <c r="N576" i="3"/>
  <c r="O575" i="3"/>
  <c r="N575" i="3"/>
  <c r="O574" i="3"/>
  <c r="N574" i="3"/>
  <c r="O573" i="3"/>
  <c r="N573" i="3"/>
  <c r="O572" i="3"/>
  <c r="N572" i="3"/>
  <c r="O571" i="3"/>
  <c r="N571" i="3"/>
  <c r="O570" i="3"/>
  <c r="N570" i="3"/>
  <c r="O569" i="3"/>
  <c r="N569" i="3"/>
  <c r="O568" i="3"/>
  <c r="N568" i="3"/>
  <c r="O567" i="3"/>
  <c r="N567" i="3"/>
  <c r="O566" i="3"/>
  <c r="N566" i="3"/>
  <c r="O565" i="3"/>
  <c r="N565" i="3"/>
  <c r="O564" i="3"/>
  <c r="N564" i="3"/>
  <c r="O563" i="3"/>
  <c r="N563" i="3"/>
  <c r="O562" i="3"/>
  <c r="N562" i="3"/>
  <c r="O561" i="3"/>
  <c r="N561" i="3"/>
  <c r="O560" i="3"/>
  <c r="N560" i="3"/>
  <c r="O559" i="3"/>
  <c r="N559" i="3"/>
  <c r="O558" i="3"/>
  <c r="N558" i="3"/>
  <c r="O557" i="3"/>
  <c r="N557" i="3"/>
  <c r="O556" i="3"/>
  <c r="N556" i="3"/>
  <c r="O555" i="3"/>
  <c r="N555" i="3"/>
  <c r="O554" i="3"/>
  <c r="N554" i="3"/>
  <c r="O553" i="3"/>
  <c r="N553" i="3"/>
  <c r="O552" i="3"/>
  <c r="N552" i="3"/>
  <c r="O551" i="3"/>
  <c r="N551" i="3"/>
  <c r="O550" i="3"/>
  <c r="N550" i="3"/>
  <c r="O549" i="3"/>
  <c r="N549" i="3"/>
  <c r="O548" i="3"/>
  <c r="N548" i="3"/>
  <c r="O547" i="3"/>
  <c r="N547" i="3"/>
  <c r="O546" i="3"/>
  <c r="N546" i="3"/>
  <c r="O545" i="3"/>
  <c r="N545" i="3"/>
  <c r="O544" i="3"/>
  <c r="N544" i="3"/>
  <c r="O543" i="3"/>
  <c r="N543" i="3"/>
  <c r="O542" i="3"/>
  <c r="N542" i="3"/>
  <c r="O541" i="3"/>
  <c r="N541" i="3"/>
  <c r="O540" i="3"/>
  <c r="N540" i="3"/>
  <c r="O539" i="3"/>
  <c r="N539" i="3"/>
  <c r="O538" i="3"/>
  <c r="N538" i="3"/>
  <c r="O537" i="3"/>
  <c r="N537" i="3"/>
  <c r="O536" i="3"/>
  <c r="N536" i="3"/>
  <c r="O535" i="3"/>
  <c r="N535" i="3"/>
  <c r="O534" i="3"/>
  <c r="N534" i="3"/>
  <c r="O533" i="3"/>
  <c r="N533" i="3"/>
  <c r="O532" i="3"/>
  <c r="N532" i="3"/>
  <c r="O531" i="3"/>
  <c r="N531" i="3"/>
  <c r="O530" i="3"/>
  <c r="N530" i="3"/>
  <c r="O529" i="3"/>
  <c r="N529" i="3"/>
  <c r="O528" i="3"/>
  <c r="N528" i="3"/>
  <c r="O527" i="3"/>
  <c r="N527" i="3"/>
  <c r="O526" i="3"/>
  <c r="N526" i="3"/>
  <c r="O525" i="3"/>
  <c r="N525" i="3"/>
  <c r="O524" i="3"/>
  <c r="N524" i="3"/>
  <c r="O523" i="3"/>
  <c r="N523" i="3"/>
  <c r="O522" i="3"/>
  <c r="N522" i="3"/>
  <c r="O521" i="3"/>
  <c r="N521" i="3"/>
  <c r="O520" i="3"/>
  <c r="N520" i="3"/>
  <c r="O519" i="3"/>
  <c r="N519" i="3"/>
  <c r="O518" i="3"/>
  <c r="N518" i="3"/>
  <c r="O517" i="3"/>
  <c r="N517" i="3"/>
  <c r="O516" i="3"/>
  <c r="N516" i="3"/>
  <c r="O515" i="3"/>
  <c r="N515" i="3"/>
  <c r="O514" i="3"/>
  <c r="N514" i="3"/>
  <c r="O513" i="3"/>
  <c r="N513" i="3"/>
  <c r="O512" i="3"/>
  <c r="N512" i="3"/>
  <c r="O511" i="3"/>
  <c r="N511" i="3"/>
  <c r="O510" i="3"/>
  <c r="N510" i="3"/>
  <c r="O509" i="3"/>
  <c r="N509" i="3"/>
  <c r="O508" i="3"/>
  <c r="N508" i="3"/>
  <c r="O507" i="3"/>
  <c r="N507" i="3"/>
  <c r="O506" i="3"/>
  <c r="N506" i="3"/>
  <c r="O505" i="3"/>
  <c r="N505" i="3"/>
  <c r="O504" i="3"/>
  <c r="N504" i="3"/>
  <c r="O503" i="3"/>
  <c r="N503" i="3"/>
  <c r="O502" i="3"/>
  <c r="N502" i="3"/>
  <c r="O501" i="3"/>
  <c r="N501" i="3"/>
  <c r="O500" i="3"/>
  <c r="N500" i="3"/>
  <c r="O499" i="3"/>
  <c r="N499" i="3"/>
  <c r="O498" i="3"/>
  <c r="N498" i="3"/>
  <c r="O497" i="3"/>
  <c r="N497" i="3"/>
  <c r="O496" i="3"/>
  <c r="N496" i="3"/>
  <c r="O495" i="3"/>
  <c r="N495" i="3"/>
  <c r="O494" i="3"/>
  <c r="N494" i="3"/>
  <c r="O493" i="3"/>
  <c r="N493" i="3"/>
  <c r="O492" i="3"/>
  <c r="N492" i="3"/>
  <c r="O491" i="3"/>
  <c r="N491" i="3"/>
  <c r="O490" i="3"/>
  <c r="N490" i="3"/>
  <c r="O489" i="3"/>
  <c r="N489" i="3"/>
  <c r="O488" i="3"/>
  <c r="N488" i="3"/>
  <c r="O487" i="3"/>
  <c r="N487" i="3"/>
  <c r="O486" i="3"/>
  <c r="N486" i="3"/>
  <c r="O485" i="3"/>
  <c r="N485" i="3"/>
  <c r="O484" i="3"/>
  <c r="N484" i="3"/>
  <c r="O483" i="3"/>
  <c r="N483" i="3"/>
  <c r="O482" i="3"/>
  <c r="N482" i="3"/>
  <c r="O481" i="3"/>
  <c r="N481" i="3"/>
  <c r="O480" i="3"/>
  <c r="N480" i="3"/>
  <c r="O479" i="3"/>
  <c r="N479" i="3"/>
  <c r="O478" i="3"/>
  <c r="N478" i="3"/>
  <c r="O477" i="3"/>
  <c r="N477" i="3"/>
  <c r="O476" i="3"/>
  <c r="N476" i="3"/>
  <c r="O475" i="3"/>
  <c r="N475" i="3"/>
  <c r="O474" i="3"/>
  <c r="N474" i="3"/>
  <c r="O473" i="3"/>
  <c r="N473" i="3"/>
  <c r="O472" i="3"/>
  <c r="N472" i="3"/>
  <c r="O471" i="3"/>
  <c r="N471" i="3"/>
  <c r="O470" i="3"/>
  <c r="N470" i="3"/>
  <c r="O469" i="3"/>
  <c r="N469" i="3"/>
  <c r="O468" i="3"/>
  <c r="N468" i="3"/>
  <c r="O467" i="3"/>
  <c r="N467" i="3"/>
  <c r="O466" i="3"/>
  <c r="N466" i="3"/>
  <c r="O465" i="3"/>
  <c r="N465" i="3"/>
  <c r="O464" i="3"/>
  <c r="N464" i="3"/>
  <c r="O463" i="3"/>
  <c r="N463" i="3"/>
  <c r="O462" i="3"/>
  <c r="N462" i="3"/>
  <c r="O461" i="3"/>
  <c r="N461" i="3"/>
  <c r="O460" i="3"/>
  <c r="N460" i="3"/>
  <c r="O459" i="3"/>
  <c r="N459" i="3"/>
  <c r="O458" i="3"/>
  <c r="N458" i="3"/>
  <c r="O457" i="3"/>
  <c r="N457" i="3"/>
  <c r="O456" i="3"/>
  <c r="N456" i="3"/>
  <c r="O455" i="3"/>
  <c r="N455" i="3"/>
  <c r="O454" i="3"/>
  <c r="N454" i="3"/>
  <c r="O453" i="3"/>
  <c r="N453" i="3"/>
  <c r="O452" i="3"/>
  <c r="N452" i="3"/>
  <c r="O451" i="3"/>
  <c r="N451" i="3"/>
  <c r="O450" i="3"/>
  <c r="N450" i="3"/>
  <c r="O449" i="3"/>
  <c r="N449" i="3"/>
  <c r="O448" i="3"/>
  <c r="N448" i="3"/>
  <c r="O447" i="3"/>
  <c r="N447" i="3"/>
  <c r="O446" i="3"/>
  <c r="N446" i="3"/>
  <c r="O445" i="3"/>
  <c r="N445" i="3"/>
  <c r="O444" i="3"/>
  <c r="N444" i="3"/>
  <c r="O443" i="3"/>
  <c r="N443" i="3"/>
  <c r="O442" i="3"/>
  <c r="N442" i="3"/>
  <c r="O441" i="3"/>
  <c r="N441" i="3"/>
  <c r="O440" i="3"/>
  <c r="N440" i="3"/>
  <c r="O439" i="3"/>
  <c r="N439" i="3"/>
  <c r="O438" i="3"/>
  <c r="N438" i="3"/>
  <c r="O437" i="3"/>
  <c r="N437" i="3"/>
  <c r="O436" i="3"/>
  <c r="N436" i="3"/>
  <c r="O435" i="3"/>
  <c r="N435" i="3"/>
  <c r="O434" i="3"/>
  <c r="N434" i="3"/>
  <c r="O433" i="3"/>
  <c r="N433" i="3"/>
  <c r="O432" i="3"/>
  <c r="N432" i="3"/>
  <c r="O431" i="3"/>
  <c r="N431" i="3"/>
  <c r="O430" i="3"/>
  <c r="N430" i="3"/>
  <c r="O429" i="3"/>
  <c r="N429" i="3"/>
  <c r="O428" i="3"/>
  <c r="N428" i="3"/>
  <c r="O427" i="3"/>
  <c r="N427" i="3"/>
  <c r="O426" i="3"/>
  <c r="N426" i="3"/>
  <c r="O425" i="3"/>
  <c r="N425" i="3"/>
  <c r="O424" i="3"/>
  <c r="N424" i="3"/>
  <c r="O423" i="3"/>
  <c r="N423" i="3"/>
  <c r="O422" i="3"/>
  <c r="N422" i="3"/>
  <c r="O421" i="3"/>
  <c r="N421" i="3"/>
  <c r="O420" i="3"/>
  <c r="N420" i="3"/>
  <c r="O419" i="3"/>
  <c r="N419" i="3"/>
  <c r="O418" i="3"/>
  <c r="N418" i="3"/>
  <c r="O417" i="3"/>
  <c r="N417" i="3"/>
  <c r="O416" i="3"/>
  <c r="N416" i="3"/>
  <c r="O415" i="3"/>
  <c r="N415" i="3"/>
  <c r="O414" i="3"/>
  <c r="N414" i="3"/>
  <c r="O413" i="3"/>
  <c r="N413" i="3"/>
  <c r="O412" i="3"/>
  <c r="N412" i="3"/>
  <c r="O411" i="3"/>
  <c r="N411" i="3"/>
  <c r="O410" i="3"/>
  <c r="N410" i="3"/>
  <c r="O409" i="3"/>
  <c r="N409" i="3"/>
  <c r="O408" i="3"/>
  <c r="N408" i="3"/>
  <c r="O407" i="3"/>
  <c r="N407" i="3"/>
  <c r="O406" i="3"/>
  <c r="N406" i="3"/>
  <c r="O405" i="3"/>
  <c r="N405" i="3"/>
  <c r="O404" i="3"/>
  <c r="N404" i="3"/>
  <c r="O403" i="3"/>
  <c r="N403" i="3"/>
  <c r="O402" i="3"/>
  <c r="N402" i="3"/>
  <c r="O401" i="3"/>
  <c r="N401" i="3"/>
  <c r="O400" i="3"/>
  <c r="N400" i="3"/>
  <c r="O399" i="3"/>
  <c r="N399" i="3"/>
  <c r="O398" i="3"/>
  <c r="N398" i="3"/>
  <c r="O397" i="3"/>
  <c r="N397" i="3"/>
  <c r="O396" i="3"/>
  <c r="N396" i="3"/>
  <c r="O395" i="3"/>
  <c r="N395" i="3"/>
  <c r="O394" i="3"/>
  <c r="N394" i="3"/>
  <c r="O393" i="3"/>
  <c r="N393" i="3"/>
  <c r="O392" i="3"/>
  <c r="N392" i="3"/>
  <c r="O391" i="3"/>
  <c r="N391" i="3"/>
  <c r="O390" i="3"/>
  <c r="N390" i="3"/>
  <c r="O389" i="3"/>
  <c r="N389" i="3"/>
  <c r="O388" i="3"/>
  <c r="N388" i="3"/>
  <c r="O387" i="3"/>
  <c r="N387" i="3"/>
  <c r="O386" i="3"/>
  <c r="N386" i="3"/>
  <c r="O385" i="3"/>
  <c r="N385" i="3"/>
  <c r="O384" i="3"/>
  <c r="N384" i="3"/>
  <c r="O383" i="3"/>
  <c r="N383" i="3"/>
  <c r="O382" i="3"/>
  <c r="N382" i="3"/>
  <c r="O381" i="3"/>
  <c r="N381" i="3"/>
  <c r="O380" i="3"/>
  <c r="N380" i="3"/>
  <c r="O379" i="3"/>
  <c r="N379" i="3"/>
  <c r="O378" i="3"/>
  <c r="N378" i="3"/>
  <c r="O377" i="3"/>
  <c r="N377" i="3"/>
  <c r="O376" i="3"/>
  <c r="N376" i="3"/>
  <c r="O375" i="3"/>
  <c r="N375" i="3"/>
  <c r="O374" i="3"/>
  <c r="N374" i="3"/>
  <c r="O373" i="3"/>
  <c r="N373" i="3"/>
  <c r="O372" i="3"/>
  <c r="N372" i="3"/>
  <c r="O371" i="3"/>
  <c r="N371" i="3"/>
  <c r="O370" i="3"/>
  <c r="N370" i="3"/>
  <c r="O369" i="3"/>
  <c r="N369" i="3"/>
  <c r="O368" i="3"/>
  <c r="N368" i="3"/>
  <c r="O367" i="3"/>
  <c r="N367" i="3"/>
  <c r="O366" i="3"/>
  <c r="N366" i="3"/>
  <c r="O365" i="3"/>
  <c r="N365" i="3"/>
  <c r="O364" i="3"/>
  <c r="N364" i="3"/>
  <c r="O363" i="3"/>
  <c r="N363" i="3"/>
  <c r="O362" i="3"/>
  <c r="N362" i="3"/>
  <c r="O361" i="3"/>
  <c r="N361" i="3"/>
  <c r="O360" i="3"/>
  <c r="N360" i="3"/>
  <c r="O359" i="3"/>
  <c r="N359" i="3"/>
  <c r="O358" i="3"/>
  <c r="N358" i="3"/>
  <c r="O357" i="3"/>
  <c r="N357" i="3"/>
  <c r="O356" i="3"/>
  <c r="N356" i="3"/>
  <c r="O355" i="3"/>
  <c r="N355" i="3"/>
  <c r="O354" i="3"/>
  <c r="N354" i="3"/>
  <c r="O353" i="3"/>
  <c r="N353" i="3"/>
  <c r="O352" i="3"/>
  <c r="N352" i="3"/>
  <c r="O351" i="3"/>
  <c r="N351" i="3"/>
  <c r="O350" i="3"/>
  <c r="N350" i="3"/>
  <c r="O349" i="3"/>
  <c r="N349" i="3"/>
  <c r="O348" i="3"/>
  <c r="N348" i="3"/>
  <c r="O347" i="3"/>
  <c r="N347" i="3"/>
  <c r="O346" i="3"/>
  <c r="N346" i="3"/>
  <c r="O345" i="3"/>
  <c r="N345" i="3"/>
  <c r="O344" i="3"/>
  <c r="N344" i="3"/>
  <c r="O343" i="3"/>
  <c r="N343" i="3"/>
  <c r="O342" i="3"/>
  <c r="N342" i="3"/>
  <c r="O341" i="3"/>
  <c r="N341" i="3"/>
  <c r="O340" i="3"/>
  <c r="N340" i="3"/>
  <c r="O339" i="3"/>
  <c r="N339" i="3"/>
  <c r="O338" i="3"/>
  <c r="N338" i="3"/>
  <c r="O337" i="3"/>
  <c r="N337" i="3"/>
  <c r="O336" i="3"/>
  <c r="N336" i="3"/>
  <c r="O335" i="3"/>
  <c r="N335" i="3"/>
  <c r="O334" i="3"/>
  <c r="N334" i="3"/>
  <c r="O333" i="3"/>
  <c r="N333" i="3"/>
  <c r="O332" i="3"/>
  <c r="N332" i="3"/>
  <c r="O331" i="3"/>
  <c r="N331" i="3"/>
  <c r="O330" i="3"/>
  <c r="N330" i="3"/>
  <c r="O329" i="3"/>
  <c r="N329" i="3"/>
  <c r="O328" i="3"/>
  <c r="N328" i="3"/>
  <c r="O327" i="3"/>
  <c r="N327" i="3"/>
  <c r="O326" i="3"/>
  <c r="N326" i="3"/>
  <c r="O325" i="3"/>
  <c r="N325" i="3"/>
  <c r="O324" i="3"/>
  <c r="N324" i="3"/>
  <c r="O323" i="3"/>
  <c r="N323" i="3"/>
  <c r="O322" i="3"/>
  <c r="N322" i="3"/>
  <c r="O321" i="3"/>
  <c r="N321" i="3"/>
  <c r="O320" i="3"/>
  <c r="N320" i="3"/>
  <c r="O319" i="3"/>
  <c r="N319" i="3"/>
  <c r="O318" i="3"/>
  <c r="N318" i="3"/>
  <c r="O317" i="3"/>
  <c r="N317" i="3"/>
  <c r="O316" i="3"/>
  <c r="N316" i="3"/>
  <c r="O315" i="3"/>
  <c r="N315" i="3"/>
  <c r="O314" i="3"/>
  <c r="N314" i="3"/>
  <c r="O313" i="3"/>
  <c r="N313" i="3"/>
  <c r="O312" i="3"/>
  <c r="N312" i="3"/>
  <c r="O311" i="3"/>
  <c r="N311" i="3"/>
  <c r="O310" i="3"/>
  <c r="N310" i="3"/>
  <c r="O309" i="3"/>
  <c r="N309" i="3"/>
  <c r="O308" i="3"/>
  <c r="N308" i="3"/>
  <c r="O307" i="3"/>
  <c r="N307" i="3"/>
  <c r="O306" i="3"/>
  <c r="N306" i="3"/>
  <c r="O305" i="3"/>
  <c r="N305" i="3"/>
  <c r="O304" i="3"/>
  <c r="N304" i="3"/>
  <c r="O303" i="3"/>
  <c r="N303" i="3"/>
  <c r="O302" i="3"/>
  <c r="N302" i="3"/>
  <c r="O301" i="3"/>
  <c r="N301" i="3"/>
  <c r="O300" i="3"/>
  <c r="N300" i="3"/>
  <c r="O299" i="3"/>
  <c r="N299" i="3"/>
  <c r="O298" i="3"/>
  <c r="N298" i="3"/>
  <c r="O297" i="3"/>
  <c r="N297" i="3"/>
  <c r="O296" i="3"/>
  <c r="N296" i="3"/>
  <c r="O295" i="3"/>
  <c r="N295" i="3"/>
  <c r="O294" i="3"/>
  <c r="N294" i="3"/>
  <c r="O293" i="3"/>
  <c r="N293" i="3"/>
  <c r="O292" i="3"/>
  <c r="N292" i="3"/>
  <c r="O291" i="3"/>
  <c r="N291" i="3"/>
  <c r="O290" i="3"/>
  <c r="N290" i="3"/>
  <c r="O289" i="3"/>
  <c r="N289" i="3"/>
  <c r="O288" i="3"/>
  <c r="N288" i="3"/>
  <c r="O287" i="3"/>
  <c r="N287" i="3"/>
  <c r="O286" i="3"/>
  <c r="N286" i="3"/>
  <c r="O285" i="3"/>
  <c r="N285" i="3"/>
  <c r="O284" i="3"/>
  <c r="N284" i="3"/>
  <c r="O283" i="3"/>
  <c r="N283" i="3"/>
  <c r="O282" i="3"/>
  <c r="N282" i="3"/>
  <c r="O281" i="3"/>
  <c r="N281" i="3"/>
  <c r="O280" i="3"/>
  <c r="N280" i="3"/>
  <c r="O279" i="3"/>
  <c r="N279" i="3"/>
  <c r="O278" i="3"/>
  <c r="N278" i="3"/>
  <c r="O277" i="3"/>
  <c r="N277" i="3"/>
  <c r="O276" i="3"/>
  <c r="N276" i="3"/>
  <c r="O275" i="3"/>
  <c r="N275" i="3"/>
  <c r="O274" i="3"/>
  <c r="N274" i="3"/>
  <c r="O273" i="3"/>
  <c r="N273" i="3"/>
  <c r="O272" i="3"/>
  <c r="N272" i="3"/>
  <c r="O271" i="3"/>
  <c r="N271" i="3"/>
  <c r="O270" i="3"/>
  <c r="N270" i="3"/>
  <c r="O269" i="3"/>
  <c r="N269" i="3"/>
  <c r="O268" i="3"/>
  <c r="N268" i="3"/>
  <c r="O267" i="3"/>
  <c r="N267" i="3"/>
  <c r="O266" i="3"/>
  <c r="N266" i="3"/>
  <c r="O265" i="3"/>
  <c r="N265" i="3"/>
  <c r="O264" i="3"/>
  <c r="N264" i="3"/>
  <c r="O263" i="3"/>
  <c r="N263" i="3"/>
  <c r="O262" i="3"/>
  <c r="N262" i="3"/>
  <c r="O261" i="3"/>
  <c r="N261" i="3"/>
  <c r="O260" i="3"/>
  <c r="N260" i="3"/>
  <c r="O259" i="3"/>
  <c r="N259" i="3"/>
  <c r="O258" i="3"/>
  <c r="N258" i="3"/>
  <c r="O257" i="3"/>
  <c r="N257" i="3"/>
  <c r="O256" i="3"/>
  <c r="N256" i="3"/>
  <c r="O255" i="3"/>
  <c r="N255" i="3"/>
  <c r="O254" i="3"/>
  <c r="N254" i="3"/>
  <c r="O253" i="3"/>
  <c r="N253" i="3"/>
  <c r="O252" i="3"/>
  <c r="N252" i="3"/>
  <c r="O251" i="3"/>
  <c r="N251" i="3"/>
  <c r="O250" i="3"/>
  <c r="N250" i="3"/>
  <c r="O249" i="3"/>
  <c r="N249" i="3"/>
  <c r="O248" i="3"/>
  <c r="N248" i="3"/>
  <c r="O247" i="3"/>
  <c r="N247" i="3"/>
  <c r="O246" i="3"/>
  <c r="N246" i="3"/>
  <c r="O245" i="3"/>
  <c r="N245" i="3"/>
  <c r="O244" i="3"/>
  <c r="N244" i="3"/>
  <c r="O243" i="3"/>
  <c r="N243" i="3"/>
  <c r="O242" i="3"/>
  <c r="N242" i="3"/>
  <c r="O241" i="3"/>
  <c r="N241" i="3"/>
  <c r="O240" i="3"/>
  <c r="N240" i="3"/>
  <c r="O239" i="3"/>
  <c r="N239" i="3"/>
  <c r="O238" i="3"/>
  <c r="N238" i="3"/>
  <c r="O237" i="3"/>
  <c r="N237" i="3"/>
  <c r="O236" i="3"/>
  <c r="N236" i="3"/>
  <c r="O235" i="3"/>
  <c r="N235" i="3"/>
  <c r="O234" i="3"/>
  <c r="N234" i="3"/>
  <c r="O233" i="3"/>
  <c r="N233" i="3"/>
  <c r="O232" i="3"/>
  <c r="N232" i="3"/>
  <c r="O231" i="3"/>
  <c r="N231" i="3"/>
  <c r="O230" i="3"/>
  <c r="N230" i="3"/>
  <c r="O229" i="3"/>
  <c r="N229" i="3"/>
  <c r="O228" i="3"/>
  <c r="N228" i="3"/>
  <c r="O227" i="3"/>
  <c r="N227" i="3"/>
  <c r="O226" i="3"/>
  <c r="N226" i="3"/>
  <c r="O225" i="3"/>
  <c r="N225" i="3"/>
  <c r="O224" i="3"/>
  <c r="N224" i="3"/>
  <c r="O223" i="3"/>
  <c r="N223" i="3"/>
  <c r="O222" i="3"/>
  <c r="N222" i="3"/>
  <c r="O221" i="3"/>
  <c r="N221" i="3"/>
  <c r="O220" i="3"/>
  <c r="N220" i="3"/>
  <c r="O219" i="3"/>
  <c r="N219" i="3"/>
  <c r="O218" i="3"/>
  <c r="N218" i="3"/>
  <c r="O217" i="3"/>
  <c r="N217" i="3"/>
  <c r="O216" i="3"/>
  <c r="N216" i="3"/>
  <c r="O215" i="3"/>
  <c r="N215" i="3"/>
  <c r="O214" i="3"/>
  <c r="N214" i="3"/>
  <c r="O213" i="3"/>
  <c r="N213" i="3"/>
  <c r="O212" i="3"/>
  <c r="N212" i="3"/>
  <c r="O211" i="3"/>
  <c r="N211" i="3"/>
  <c r="O210" i="3"/>
  <c r="N210" i="3"/>
  <c r="O209" i="3"/>
  <c r="N209" i="3"/>
  <c r="O208" i="3"/>
  <c r="N208" i="3"/>
  <c r="O207" i="3"/>
  <c r="N207" i="3"/>
  <c r="O206" i="3"/>
  <c r="N206" i="3"/>
  <c r="O205" i="3"/>
  <c r="N205" i="3"/>
  <c r="O204" i="3"/>
  <c r="N204" i="3"/>
  <c r="O203" i="3"/>
  <c r="N203" i="3"/>
  <c r="O202" i="3"/>
  <c r="N202" i="3"/>
  <c r="O201" i="3"/>
  <c r="N201" i="3"/>
  <c r="O200" i="3"/>
  <c r="N200" i="3"/>
  <c r="O199" i="3"/>
  <c r="N199" i="3"/>
  <c r="O198" i="3"/>
  <c r="N198" i="3"/>
  <c r="O197" i="3"/>
  <c r="N197" i="3"/>
  <c r="O196" i="3"/>
  <c r="N196" i="3"/>
  <c r="O195" i="3"/>
  <c r="N195" i="3"/>
  <c r="O194" i="3"/>
  <c r="N194" i="3"/>
  <c r="O193" i="3"/>
  <c r="N193" i="3"/>
  <c r="O192" i="3"/>
  <c r="N192" i="3"/>
  <c r="O191" i="3"/>
  <c r="N191" i="3"/>
  <c r="O190" i="3"/>
  <c r="N190" i="3"/>
  <c r="O189" i="3"/>
  <c r="N189" i="3"/>
  <c r="O188" i="3"/>
  <c r="N188" i="3"/>
  <c r="O187" i="3"/>
  <c r="N187" i="3"/>
  <c r="O186" i="3"/>
  <c r="N186" i="3"/>
  <c r="O185" i="3"/>
  <c r="N185" i="3"/>
  <c r="O184" i="3"/>
  <c r="N184" i="3"/>
  <c r="O183" i="3"/>
  <c r="N183" i="3"/>
  <c r="O182" i="3"/>
  <c r="N182" i="3"/>
  <c r="O181" i="3"/>
  <c r="N181" i="3"/>
  <c r="O180" i="3"/>
  <c r="N180" i="3"/>
  <c r="O179" i="3"/>
  <c r="N179" i="3"/>
  <c r="O178" i="3"/>
  <c r="N178" i="3"/>
  <c r="O177" i="3"/>
  <c r="N177" i="3"/>
  <c r="O176" i="3"/>
  <c r="N176" i="3"/>
  <c r="O175" i="3"/>
  <c r="N175" i="3"/>
  <c r="O174" i="3"/>
  <c r="N174" i="3"/>
  <c r="O173" i="3"/>
  <c r="N173" i="3"/>
  <c r="O172" i="3"/>
  <c r="N172" i="3"/>
  <c r="O171" i="3"/>
  <c r="N171" i="3"/>
  <c r="O170" i="3"/>
  <c r="N170" i="3"/>
  <c r="O169" i="3"/>
  <c r="N169" i="3"/>
  <c r="O168" i="3"/>
  <c r="N168" i="3"/>
  <c r="O167" i="3"/>
  <c r="N167" i="3"/>
  <c r="O166" i="3"/>
  <c r="N166" i="3"/>
  <c r="O165" i="3"/>
  <c r="N165" i="3"/>
  <c r="O164" i="3"/>
  <c r="N164" i="3"/>
  <c r="O163" i="3"/>
  <c r="N163" i="3"/>
  <c r="O162" i="3"/>
  <c r="N162" i="3"/>
  <c r="O161" i="3"/>
  <c r="N161" i="3"/>
  <c r="O160" i="3"/>
  <c r="N160" i="3"/>
  <c r="O159" i="3"/>
  <c r="N159" i="3"/>
  <c r="O158" i="3"/>
  <c r="N158" i="3"/>
  <c r="O157" i="3"/>
  <c r="N157" i="3"/>
  <c r="O156" i="3"/>
  <c r="N156" i="3"/>
  <c r="O155" i="3"/>
  <c r="N155" i="3"/>
  <c r="O154" i="3"/>
  <c r="N154" i="3"/>
  <c r="O153" i="3"/>
  <c r="N153" i="3"/>
  <c r="O152" i="3"/>
  <c r="N152" i="3"/>
  <c r="O151" i="3"/>
  <c r="N151" i="3"/>
  <c r="O150" i="3"/>
  <c r="N150" i="3"/>
  <c r="O149" i="3"/>
  <c r="N149" i="3"/>
  <c r="O148" i="3"/>
  <c r="N148" i="3"/>
  <c r="O147" i="3"/>
  <c r="N147" i="3"/>
  <c r="O146" i="3"/>
  <c r="N146" i="3"/>
  <c r="O145" i="3"/>
  <c r="N145" i="3"/>
  <c r="O144" i="3"/>
  <c r="N144" i="3"/>
  <c r="O143" i="3"/>
  <c r="N143" i="3"/>
  <c r="O142" i="3"/>
  <c r="N142" i="3"/>
  <c r="O141" i="3"/>
  <c r="N141" i="3"/>
  <c r="O140" i="3"/>
  <c r="N140" i="3"/>
  <c r="O139" i="3"/>
  <c r="N139" i="3"/>
  <c r="O138" i="3"/>
  <c r="N138" i="3"/>
  <c r="O137" i="3"/>
  <c r="N137" i="3"/>
  <c r="O136" i="3"/>
  <c r="N136" i="3"/>
  <c r="O135" i="3"/>
  <c r="N135" i="3"/>
  <c r="O134" i="3"/>
  <c r="N134" i="3"/>
  <c r="O133" i="3"/>
  <c r="N133" i="3"/>
  <c r="O132" i="3"/>
  <c r="N132" i="3"/>
  <c r="O131" i="3"/>
  <c r="N131" i="3"/>
  <c r="O130" i="3"/>
  <c r="N130" i="3"/>
  <c r="O129" i="3"/>
  <c r="N129" i="3"/>
  <c r="O128" i="3"/>
  <c r="N128" i="3"/>
  <c r="O127" i="3"/>
  <c r="N127" i="3"/>
  <c r="O126" i="3"/>
  <c r="N126" i="3"/>
  <c r="O125" i="3"/>
  <c r="N125" i="3"/>
  <c r="O124" i="3"/>
  <c r="N124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O113" i="3"/>
  <c r="N113" i="3"/>
  <c r="O112" i="3"/>
  <c r="N112" i="3"/>
  <c r="O111" i="3"/>
  <c r="N111" i="3"/>
  <c r="O110" i="3"/>
  <c r="N110" i="3"/>
  <c r="O109" i="3"/>
  <c r="N109" i="3"/>
  <c r="O108" i="3"/>
  <c r="N108" i="3"/>
  <c r="O107" i="3"/>
  <c r="N107" i="3"/>
  <c r="O106" i="3"/>
  <c r="N106" i="3"/>
  <c r="O105" i="3"/>
  <c r="N105" i="3"/>
  <c r="O104" i="3"/>
  <c r="N104" i="3"/>
  <c r="O103" i="3"/>
  <c r="N103" i="3"/>
  <c r="O102" i="3"/>
  <c r="N102" i="3"/>
  <c r="O101" i="3"/>
  <c r="N101" i="3"/>
  <c r="O100" i="3"/>
  <c r="N100" i="3"/>
  <c r="O99" i="3"/>
  <c r="N99" i="3"/>
  <c r="O98" i="3"/>
  <c r="N98" i="3"/>
  <c r="O97" i="3"/>
  <c r="N97" i="3"/>
  <c r="O96" i="3"/>
  <c r="N96" i="3"/>
  <c r="O95" i="3"/>
  <c r="N95" i="3"/>
  <c r="O94" i="3"/>
  <c r="N94" i="3"/>
  <c r="O93" i="3"/>
  <c r="N93" i="3"/>
  <c r="O92" i="3"/>
  <c r="N92" i="3"/>
  <c r="O91" i="3"/>
  <c r="N91" i="3"/>
  <c r="O90" i="3"/>
  <c r="N90" i="3"/>
  <c r="O89" i="3"/>
  <c r="N89" i="3"/>
  <c r="O88" i="3"/>
  <c r="N88" i="3"/>
  <c r="O87" i="3"/>
  <c r="N87" i="3"/>
  <c r="O86" i="3"/>
  <c r="N86" i="3"/>
  <c r="O85" i="3"/>
  <c r="N85" i="3"/>
  <c r="O84" i="3"/>
  <c r="N84" i="3"/>
  <c r="O83" i="3"/>
  <c r="N83" i="3"/>
  <c r="O82" i="3"/>
  <c r="N82" i="3"/>
  <c r="O81" i="3"/>
  <c r="N81" i="3"/>
  <c r="O80" i="3"/>
  <c r="N80" i="3"/>
  <c r="O79" i="3"/>
  <c r="N79" i="3"/>
  <c r="O78" i="3"/>
  <c r="N78" i="3"/>
  <c r="O77" i="3"/>
  <c r="N77" i="3"/>
  <c r="O76" i="3"/>
  <c r="N76" i="3"/>
  <c r="O75" i="3"/>
  <c r="N75" i="3"/>
  <c r="O74" i="3"/>
  <c r="N74" i="3"/>
  <c r="O73" i="3"/>
  <c r="N73" i="3"/>
  <c r="O72" i="3"/>
  <c r="N72" i="3"/>
  <c r="O71" i="3"/>
  <c r="N71" i="3"/>
  <c r="O70" i="3"/>
  <c r="N70" i="3"/>
  <c r="O69" i="3"/>
  <c r="N69" i="3"/>
  <c r="O68" i="3"/>
  <c r="N68" i="3"/>
  <c r="O67" i="3"/>
  <c r="N67" i="3"/>
  <c r="O66" i="3"/>
  <c r="N66" i="3"/>
  <c r="O65" i="3"/>
  <c r="N65" i="3"/>
  <c r="O64" i="3"/>
  <c r="N64" i="3"/>
  <c r="O63" i="3"/>
  <c r="N63" i="3"/>
  <c r="O62" i="3"/>
  <c r="N62" i="3"/>
  <c r="O61" i="3"/>
  <c r="N61" i="3"/>
  <c r="O60" i="3"/>
  <c r="N60" i="3"/>
  <c r="O59" i="3"/>
  <c r="N59" i="3"/>
  <c r="O58" i="3"/>
  <c r="N58" i="3"/>
  <c r="O57" i="3"/>
  <c r="N57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N48" i="3"/>
  <c r="O47" i="3"/>
  <c r="N47" i="3"/>
  <c r="O46" i="3"/>
  <c r="N46" i="3"/>
  <c r="O45" i="3"/>
  <c r="N45" i="3"/>
  <c r="O44" i="3"/>
  <c r="N44" i="3"/>
  <c r="O43" i="3"/>
  <c r="N43" i="3"/>
  <c r="O42" i="3"/>
  <c r="N42" i="3"/>
  <c r="O41" i="3"/>
  <c r="N41" i="3"/>
  <c r="O40" i="3"/>
  <c r="N40" i="3"/>
  <c r="O39" i="3"/>
  <c r="N39" i="3"/>
  <c r="O38" i="3"/>
  <c r="N38" i="3"/>
  <c r="O37" i="3"/>
  <c r="N37" i="3"/>
  <c r="O36" i="3"/>
  <c r="N36" i="3"/>
  <c r="O35" i="3"/>
  <c r="N35" i="3"/>
  <c r="O34" i="3"/>
  <c r="N34" i="3"/>
  <c r="O33" i="3"/>
  <c r="N33" i="3"/>
  <c r="O32" i="3"/>
  <c r="N32" i="3"/>
  <c r="O31" i="3"/>
  <c r="N31" i="3"/>
  <c r="O30" i="3"/>
  <c r="N30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2" i="3"/>
  <c r="N22" i="3"/>
  <c r="O21" i="3"/>
  <c r="N21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O9" i="3"/>
  <c r="N9" i="3"/>
  <c r="O8" i="3"/>
  <c r="N8" i="3"/>
  <c r="O7" i="3"/>
  <c r="N7" i="3"/>
  <c r="O6" i="3"/>
  <c r="N6" i="3"/>
  <c r="O5" i="3"/>
  <c r="N5" i="3"/>
  <c r="O4" i="3"/>
  <c r="N4" i="3"/>
  <c r="O3" i="3"/>
  <c r="N3" i="3"/>
  <c r="O2" i="3"/>
  <c r="N2" i="3"/>
  <c r="D45" i="3"/>
  <c r="D39" i="3"/>
  <c r="D31" i="3"/>
  <c r="D29" i="3"/>
  <c r="D33" i="3"/>
  <c r="D49" i="3"/>
  <c r="D43" i="3"/>
  <c r="D55" i="3"/>
  <c r="D41" i="3"/>
  <c r="D21" i="3"/>
  <c r="D19" i="3"/>
  <c r="D13" i="3"/>
  <c r="D9" i="3"/>
  <c r="K2" i="3" l="1"/>
  <c r="L2" i="3" s="1"/>
  <c r="D47" i="3"/>
  <c r="D23" i="3"/>
  <c r="D25" i="3"/>
</calcChain>
</file>

<file path=xl/sharedStrings.xml><?xml version="1.0" encoding="utf-8"?>
<sst xmlns="http://schemas.openxmlformats.org/spreadsheetml/2006/main" count="10491" uniqueCount="4757">
  <si>
    <t>ID</t>
  </si>
  <si>
    <t>Nome Completo</t>
  </si>
  <si>
    <t>Data Nasc.</t>
  </si>
  <si>
    <t>Idade</t>
  </si>
  <si>
    <t>Endereço</t>
  </si>
  <si>
    <t>CEP</t>
  </si>
  <si>
    <t>Município</t>
  </si>
  <si>
    <t>UF</t>
  </si>
  <si>
    <t>RG</t>
  </si>
  <si>
    <t>CPF</t>
  </si>
  <si>
    <t>Nome da Mãe</t>
  </si>
  <si>
    <t>Nome do Pai</t>
  </si>
  <si>
    <t>Etnia</t>
  </si>
  <si>
    <t>Profissão</t>
  </si>
  <si>
    <t>Estado Civil</t>
  </si>
  <si>
    <t>Possui Filhos?</t>
  </si>
  <si>
    <t>Qtd Filhos</t>
  </si>
  <si>
    <t>80060-000</t>
  </si>
  <si>
    <t>Curitiba</t>
  </si>
  <si>
    <t>PR</t>
  </si>
  <si>
    <t>Indígena</t>
  </si>
  <si>
    <t>Enfermeiro</t>
  </si>
  <si>
    <t>Casado(a)</t>
  </si>
  <si>
    <t>Sim</t>
  </si>
  <si>
    <t>22021-001</t>
  </si>
  <si>
    <t>Rio de Janeiro</t>
  </si>
  <si>
    <t>RJ</t>
  </si>
  <si>
    <t>Parda</t>
  </si>
  <si>
    <t>Designer Gráfico</t>
  </si>
  <si>
    <t>Não</t>
  </si>
  <si>
    <t>69050-000</t>
  </si>
  <si>
    <t>Manaus</t>
  </si>
  <si>
    <t>AM</t>
  </si>
  <si>
    <t>Preta</t>
  </si>
  <si>
    <t>Biólogo</t>
  </si>
  <si>
    <t>Divorciado(a)</t>
  </si>
  <si>
    <t>30120-070</t>
  </si>
  <si>
    <t>Belo Horizonte</t>
  </si>
  <si>
    <t>MG</t>
  </si>
  <si>
    <t>Contador</t>
  </si>
  <si>
    <t>Solteiro(a)</t>
  </si>
  <si>
    <t>01310-100</t>
  </si>
  <si>
    <t>São Paulo</t>
  </si>
  <si>
    <t>SP</t>
  </si>
  <si>
    <t>Advogado</t>
  </si>
  <si>
    <t>60150-160</t>
  </si>
  <si>
    <t>Fortaleza</t>
  </si>
  <si>
    <t>CE</t>
  </si>
  <si>
    <t>Branca</t>
  </si>
  <si>
    <t>Médico Pediatra</t>
  </si>
  <si>
    <t>União Estável</t>
  </si>
  <si>
    <t>50711-000</t>
  </si>
  <si>
    <t>Recife</t>
  </si>
  <si>
    <t>PE</t>
  </si>
  <si>
    <t>Auxiliar Técnico</t>
  </si>
  <si>
    <t>40060-001</t>
  </si>
  <si>
    <t>Salvador</t>
  </si>
  <si>
    <t>BA</t>
  </si>
  <si>
    <t>Analista de Sistemas</t>
  </si>
  <si>
    <t>Viúvo(a)</t>
  </si>
  <si>
    <t>66060-230</t>
  </si>
  <si>
    <t>Belém</t>
  </si>
  <si>
    <t>PA</t>
  </si>
  <si>
    <t>90010-420</t>
  </si>
  <si>
    <t>Porto Alegre</t>
  </si>
  <si>
    <t>RS</t>
  </si>
  <si>
    <t>Professor</t>
  </si>
  <si>
    <t>Engenheiro Civil</t>
  </si>
  <si>
    <t>Amarela</t>
  </si>
  <si>
    <t>65074-199</t>
  </si>
  <si>
    <t>São Luís</t>
  </si>
  <si>
    <t>MA</t>
  </si>
  <si>
    <t>Eletricista</t>
  </si>
  <si>
    <t>39400-215</t>
  </si>
  <si>
    <t>Montes Claros</t>
  </si>
  <si>
    <t>77501-020</t>
  </si>
  <si>
    <t>Araguaína</t>
  </si>
  <si>
    <t>TO</t>
  </si>
  <si>
    <t>Fisioterapeuta</t>
  </si>
  <si>
    <t>75020-010</t>
  </si>
  <si>
    <t>Anápolis</t>
  </si>
  <si>
    <t>GO</t>
  </si>
  <si>
    <t>Chef de Cozinha</t>
  </si>
  <si>
    <t>25010-001</t>
  </si>
  <si>
    <t>Duque de Caxias</t>
  </si>
  <si>
    <t>79002-074</t>
  </si>
  <si>
    <t>Campo Grande</t>
  </si>
  <si>
    <t>MS</t>
  </si>
  <si>
    <t>Veterinário</t>
  </si>
  <si>
    <t>49015-000</t>
  </si>
  <si>
    <t>Aracaju</t>
  </si>
  <si>
    <t>SE</t>
  </si>
  <si>
    <t>36013-000</t>
  </si>
  <si>
    <t>Juiz de Fora</t>
  </si>
  <si>
    <t>88101-001</t>
  </si>
  <si>
    <t>São José</t>
  </si>
  <si>
    <t>SC</t>
  </si>
  <si>
    <t>42801-170</t>
  </si>
  <si>
    <t>Camaçari</t>
  </si>
  <si>
    <t>Administrador</t>
  </si>
  <si>
    <t>28040-706</t>
  </si>
  <si>
    <t>Campos dos Goytacazes</t>
  </si>
  <si>
    <t>59020-000</t>
  </si>
  <si>
    <t>Natal</t>
  </si>
  <si>
    <t>RN</t>
  </si>
  <si>
    <t>Joinville</t>
  </si>
  <si>
    <t>Jornalista</t>
  </si>
  <si>
    <t>Av. Almirante Barroso, 2538</t>
  </si>
  <si>
    <t>58013-020</t>
  </si>
  <si>
    <t>João Pessoa</t>
  </si>
  <si>
    <t>PB</t>
  </si>
  <si>
    <t>29146-300</t>
  </si>
  <si>
    <t>Cariacica</t>
  </si>
  <si>
    <t>ES</t>
  </si>
  <si>
    <t>Psicóloga</t>
  </si>
  <si>
    <t>12245-010</t>
  </si>
  <si>
    <t>São José dos Campos</t>
  </si>
  <si>
    <t>78700-050</t>
  </si>
  <si>
    <t>Rondonópolis</t>
  </si>
  <si>
    <t>MT</t>
  </si>
  <si>
    <t>68501-000</t>
  </si>
  <si>
    <t>Marabá</t>
  </si>
  <si>
    <t>13012-000</t>
  </si>
  <si>
    <t>Campinas</t>
  </si>
  <si>
    <t>64204-035</t>
  </si>
  <si>
    <t>Parnaíba</t>
  </si>
  <si>
    <t>PI</t>
  </si>
  <si>
    <t>88015-100</t>
  </si>
  <si>
    <t>Florianópolis</t>
  </si>
  <si>
    <t>77015-002</t>
  </si>
  <si>
    <t>Palmas</t>
  </si>
  <si>
    <t>61900-000</t>
  </si>
  <si>
    <t>Maracanaú</t>
  </si>
  <si>
    <t>69980-000</t>
  </si>
  <si>
    <t>Cruzeiro do Sul</t>
  </si>
  <si>
    <t>AC</t>
  </si>
  <si>
    <t>96020-000</t>
  </si>
  <si>
    <t>Pelotas</t>
  </si>
  <si>
    <t>62010-290</t>
  </si>
  <si>
    <t>Sobral</t>
  </si>
  <si>
    <t>58400-220</t>
  </si>
  <si>
    <t>Campina Grande</t>
  </si>
  <si>
    <t>87013-000</t>
  </si>
  <si>
    <t>Maringá</t>
  </si>
  <si>
    <t>78117-000</t>
  </si>
  <si>
    <t>Várzea Grande</t>
  </si>
  <si>
    <t>63010-010</t>
  </si>
  <si>
    <t>Juazeiro do Norte</t>
  </si>
  <si>
    <t>65900-000</t>
  </si>
  <si>
    <t>Imperatriz</t>
  </si>
  <si>
    <t>Arquiteta</t>
  </si>
  <si>
    <t>75901-001</t>
  </si>
  <si>
    <t>Rio Verde</t>
  </si>
  <si>
    <t>59600-005</t>
  </si>
  <si>
    <t>Mossoró</t>
  </si>
  <si>
    <t>64600-000</t>
  </si>
  <si>
    <t>Picos</t>
  </si>
  <si>
    <t>65606-010</t>
  </si>
  <si>
    <t>Caxias</t>
  </si>
  <si>
    <t>29060-235</t>
  </si>
  <si>
    <t>Vitória</t>
  </si>
  <si>
    <t>53030-010</t>
  </si>
  <si>
    <t>Olinda</t>
  </si>
  <si>
    <t>69151-000</t>
  </si>
  <si>
    <t>Parintins</t>
  </si>
  <si>
    <t>92200-630</t>
  </si>
  <si>
    <t>Canoas</t>
  </si>
  <si>
    <t>57050-000</t>
  </si>
  <si>
    <t>Maceió</t>
  </si>
  <si>
    <t>AL</t>
  </si>
  <si>
    <t>45023-490</t>
  </si>
  <si>
    <t>Vitória da Conquista</t>
  </si>
  <si>
    <t>58700-010</t>
  </si>
  <si>
    <t>Patos</t>
  </si>
  <si>
    <t>84010-000</t>
  </si>
  <si>
    <t>Ponta Grossa</t>
  </si>
  <si>
    <t>18048-110</t>
  </si>
  <si>
    <t>Sorocaba</t>
  </si>
  <si>
    <t>69301-000</t>
  </si>
  <si>
    <t>Boa Vista</t>
  </si>
  <si>
    <t>RR</t>
  </si>
  <si>
    <t>38400-112</t>
  </si>
  <si>
    <t>Uberlândia</t>
  </si>
  <si>
    <t>57300-040</t>
  </si>
  <si>
    <t>Arapiraca</t>
  </si>
  <si>
    <t>14010-040</t>
  </si>
  <si>
    <t>Ribeirão Preto</t>
  </si>
  <si>
    <t>58800-040</t>
  </si>
  <si>
    <t>Sousa</t>
  </si>
  <si>
    <t>49160-000</t>
  </si>
  <si>
    <t>Nossa Senhora do Socorro</t>
  </si>
  <si>
    <t>64800-000</t>
  </si>
  <si>
    <t>Floriano</t>
  </si>
  <si>
    <t>Farmacêutico</t>
  </si>
  <si>
    <t>32310-000</t>
  </si>
  <si>
    <t>Contagem</t>
  </si>
  <si>
    <t>44002-048</t>
  </si>
  <si>
    <t>Feira de Santana</t>
  </si>
  <si>
    <t>59300-000</t>
  </si>
  <si>
    <t>Caicó</t>
  </si>
  <si>
    <t>57100-000</t>
  </si>
  <si>
    <t>Rio Largo</t>
  </si>
  <si>
    <t>13208-056</t>
  </si>
  <si>
    <t>Jundiaí</t>
  </si>
  <si>
    <t>25620-000</t>
  </si>
  <si>
    <t>Petrópolis</t>
  </si>
  <si>
    <t>56302-000</t>
  </si>
  <si>
    <t>Petrolina</t>
  </si>
  <si>
    <t>67013-000</t>
  </si>
  <si>
    <t>Ananindeua</t>
  </si>
  <si>
    <t>45654-000</t>
  </si>
  <si>
    <t>Ilhéus</t>
  </si>
  <si>
    <t>Economista</t>
  </si>
  <si>
    <t>78008-000</t>
  </si>
  <si>
    <t>Cuiabá</t>
  </si>
  <si>
    <t>29100-010</t>
  </si>
  <si>
    <t>Vila Velha</t>
  </si>
  <si>
    <t>54410-010</t>
  </si>
  <si>
    <t>Jaboatão dos Guararapes</t>
  </si>
  <si>
    <t>65631-190</t>
  </si>
  <si>
    <t>Timon</t>
  </si>
  <si>
    <t>77402-010</t>
  </si>
  <si>
    <t>Gurupi</t>
  </si>
  <si>
    <t>09710-010</t>
  </si>
  <si>
    <t>São Bernardo do Campo</t>
  </si>
  <si>
    <t>Três Lagoas</t>
  </si>
  <si>
    <t>29165-000</t>
  </si>
  <si>
    <t>Serra</t>
  </si>
  <si>
    <t>64001-020</t>
  </si>
  <si>
    <t>Teresina</t>
  </si>
  <si>
    <t>68005-080</t>
  </si>
  <si>
    <t>Santarém</t>
  </si>
  <si>
    <t>85851-000</t>
  </si>
  <si>
    <t>Foz do Iguaçu</t>
  </si>
  <si>
    <t>70340-000</t>
  </si>
  <si>
    <t>Brasília</t>
  </si>
  <si>
    <t>DF</t>
  </si>
  <si>
    <t>85810-001</t>
  </si>
  <si>
    <t>Cascavel</t>
  </si>
  <si>
    <t>78550-000</t>
  </si>
  <si>
    <t>Sinop</t>
  </si>
  <si>
    <t>74912-420</t>
  </si>
  <si>
    <t>Aparecida de Goiânia</t>
  </si>
  <si>
    <t>69900-001</t>
  </si>
  <si>
    <t>Rio Branco</t>
  </si>
  <si>
    <t>89010-001</t>
  </si>
  <si>
    <t>Blumenau</t>
  </si>
  <si>
    <t>68925-001</t>
  </si>
  <si>
    <t>Santana</t>
  </si>
  <si>
    <t>AP</t>
  </si>
  <si>
    <t>11060-001</t>
  </si>
  <si>
    <t>Santos</t>
  </si>
  <si>
    <t>74110-160</t>
  </si>
  <si>
    <t>Goiânia</t>
  </si>
  <si>
    <t>89201-000</t>
  </si>
  <si>
    <t>76900-010</t>
  </si>
  <si>
    <t>Ji-Paraná</t>
  </si>
  <si>
    <t>RO</t>
  </si>
  <si>
    <t>76873-002</t>
  </si>
  <si>
    <t>Ariquemes</t>
  </si>
  <si>
    <t>61600-004</t>
  </si>
  <si>
    <t>Caucaia</t>
  </si>
  <si>
    <t>86020-080</t>
  </si>
  <si>
    <t>Londrina</t>
  </si>
  <si>
    <t>97015-510</t>
  </si>
  <si>
    <t>Santa Maria</t>
  </si>
  <si>
    <t>95010-000</t>
  </si>
  <si>
    <t>Caxias do Sul</t>
  </si>
  <si>
    <t>76804-015</t>
  </si>
  <si>
    <t>Porto Velho</t>
  </si>
  <si>
    <t>72800-000</t>
  </si>
  <si>
    <t>Luziânia</t>
  </si>
  <si>
    <t>69375-000</t>
  </si>
  <si>
    <t>Rorainópolis</t>
  </si>
  <si>
    <t>94030-001</t>
  </si>
  <si>
    <t>Gravataí</t>
  </si>
  <si>
    <t>32600-112</t>
  </si>
  <si>
    <t>Betim</t>
  </si>
  <si>
    <t>24230-050</t>
  </si>
  <si>
    <t>Niterói</t>
  </si>
  <si>
    <t>68920-000</t>
  </si>
  <si>
    <t>Laranjal do Jari</t>
  </si>
  <si>
    <t>55012-290</t>
  </si>
  <si>
    <t>Caruaru</t>
  </si>
  <si>
    <t>59140-645</t>
  </si>
  <si>
    <t>Parnamirim</t>
  </si>
  <si>
    <t>69100-043</t>
  </si>
  <si>
    <t>Itacoatiara</t>
  </si>
  <si>
    <t>79800-001</t>
  </si>
  <si>
    <t>Dourados</t>
  </si>
  <si>
    <t>68900-073</t>
  </si>
  <si>
    <t>Macapá</t>
  </si>
  <si>
    <t>27260-120</t>
  </si>
  <si>
    <t>Volta Redonda</t>
  </si>
  <si>
    <t>Av. VP-8, 400</t>
  </si>
  <si>
    <t>79601-001</t>
  </si>
  <si>
    <t>Alexandre Freitas Lacerda</t>
  </si>
  <si>
    <t>Av. Goiás, 1481</t>
  </si>
  <si>
    <t>Av. Paulista, 597</t>
  </si>
  <si>
    <t>Av. Brasil, 3347</t>
  </si>
  <si>
    <t>Av. Brasil, 1255</t>
  </si>
  <si>
    <t>Rodovia BR-316, 3023</t>
  </si>
  <si>
    <t>Henrique Mangabeira Chaves</t>
  </si>
  <si>
    <t>Rua Setembro, 1635</t>
  </si>
  <si>
    <t>8444661489</t>
  </si>
  <si>
    <t>078176872411</t>
  </si>
  <si>
    <t>Fernanda Laranjeira Mangabeira</t>
  </si>
  <si>
    <t>Aparicio Evangelista Chaves</t>
  </si>
  <si>
    <t>Aline Medeiros Caldeira</t>
  </si>
  <si>
    <t>Av. Hermes da Fonseca, 3562</t>
  </si>
  <si>
    <t>6895481988</t>
  </si>
  <si>
    <t>584617318422</t>
  </si>
  <si>
    <t>Cleusa Aranha Medeiros</t>
  </si>
  <si>
    <t>Gabriel Coimbra Caldeira</t>
  </si>
  <si>
    <t>Cleide Gomes Freire</t>
  </si>
  <si>
    <t>Rua Tancredo Neves, 1249</t>
  </si>
  <si>
    <t>2103606431</t>
  </si>
  <si>
    <t>131867045358</t>
  </si>
  <si>
    <t>Alana Barreto Gomes</t>
  </si>
  <si>
    <t>Rafael Baptista Freire</t>
  </si>
  <si>
    <t>Gabriel Rocha Meireles</t>
  </si>
  <si>
    <t>Av. Juracy Magalhães, 1292</t>
  </si>
  <si>
    <t>3622423320</t>
  </si>
  <si>
    <t>736842003133</t>
  </si>
  <si>
    <t>Ione Assuncao Rocha</t>
  </si>
  <si>
    <t>Emerson Pastrocinio Meireles</t>
  </si>
  <si>
    <t>Flavio Paiva Feitosa</t>
  </si>
  <si>
    <t>Av. Marcelino Pires, 3455</t>
  </si>
  <si>
    <t>4950740568</t>
  </si>
  <si>
    <t>289767789596</t>
  </si>
  <si>
    <t>Ivone Moraes Paiva</t>
  </si>
  <si>
    <t>Gaston Cardoso Feitosa</t>
  </si>
  <si>
    <t>Beto Duarte Delgado</t>
  </si>
  <si>
    <t>Av. Amazonas, 2864</t>
  </si>
  <si>
    <t>3480006471</t>
  </si>
  <si>
    <t>003435378790</t>
  </si>
  <si>
    <t>Isaura Andrade Duarte</t>
  </si>
  <si>
    <t>Biel Marinho Delgado</t>
  </si>
  <si>
    <t>Chantal Jardim Naves</t>
  </si>
  <si>
    <t>Av. Bucar Neto, 2045</t>
  </si>
  <si>
    <t>3179919307</t>
  </si>
  <si>
    <t>607141586234</t>
  </si>
  <si>
    <t>Letícia Branco Jardim</t>
  </si>
  <si>
    <t>Fred Cordeiro Naves</t>
  </si>
  <si>
    <t>Flavio Avila Figueira</t>
  </si>
  <si>
    <t>Av. Frei Serafim, 702</t>
  </si>
  <si>
    <t>4483854332</t>
  </si>
  <si>
    <t>331326699109</t>
  </si>
  <si>
    <t>Isaura Mascarenhas Avila</t>
  </si>
  <si>
    <t>Bento Filgueiras Figueira</t>
  </si>
  <si>
    <t>Dirce Dantas Noronha</t>
  </si>
  <si>
    <t>Av. Presidente Vargas, 1827</t>
  </si>
  <si>
    <t>4816620740</t>
  </si>
  <si>
    <t>610418367833</t>
  </si>
  <si>
    <t>Ingrid Ribeiro Dantas</t>
  </si>
  <si>
    <t>Frederico Mello Noronha</t>
  </si>
  <si>
    <t>Cassiano Carneiro Freire</t>
  </si>
  <si>
    <t>Av. Guilherme Schell, 2801</t>
  </si>
  <si>
    <t>2320141618</t>
  </si>
  <si>
    <t>182727981270</t>
  </si>
  <si>
    <t>Erica Antunes Carneiro</t>
  </si>
  <si>
    <t>Enzo Paschoal Freire</t>
  </si>
  <si>
    <t>Cássia Pinto Soares</t>
  </si>
  <si>
    <t>Av. Dr. Yvens Cordeiro, 761</t>
  </si>
  <si>
    <t>4268967275</t>
  </si>
  <si>
    <t>833143317845</t>
  </si>
  <si>
    <t>Elisângela Evangelista Pinto</t>
  </si>
  <si>
    <t>Ineu Ornellas Soares</t>
  </si>
  <si>
    <t>Conceição Malta Cabral</t>
  </si>
  <si>
    <t>Rua Tancredo Neves, 2754</t>
  </si>
  <si>
    <t>0133503294</t>
  </si>
  <si>
    <t>647215964565</t>
  </si>
  <si>
    <t>Glaucia Meireles Malta</t>
  </si>
  <si>
    <t>Euzebio Faria Cabral</t>
  </si>
  <si>
    <t>Jasper Araujo Ferreira</t>
  </si>
  <si>
    <t>Largo Dom Fernando Gomes, 3580</t>
  </si>
  <si>
    <t>1379491776</t>
  </si>
  <si>
    <t>955233526063</t>
  </si>
  <si>
    <t>Celina Lagos Araujo</t>
  </si>
  <si>
    <t>Marcos Gama Ferreira</t>
  </si>
  <si>
    <t>Giovanni Gusmao Padilha</t>
  </si>
  <si>
    <t>Av. Constantino Nery, 1482</t>
  </si>
  <si>
    <t>5833741296</t>
  </si>
  <si>
    <t>017551020892</t>
  </si>
  <si>
    <t>Elisabete Palma Gusmao</t>
  </si>
  <si>
    <t>Hortencio Silva Padilha</t>
  </si>
  <si>
    <t>Eduardo Aranha Branco</t>
  </si>
  <si>
    <t>Av. Frei Serafim, 1961</t>
  </si>
  <si>
    <t>5734724390</t>
  </si>
  <si>
    <t>014157815470</t>
  </si>
  <si>
    <t>Amanda Diniz Aranha</t>
  </si>
  <si>
    <t>Benicio Lima Branco</t>
  </si>
  <si>
    <t>Letícia Assuncao Pastrocinio</t>
  </si>
  <si>
    <t>Av. Brasil, 565</t>
  </si>
  <si>
    <t>6354850875</t>
  </si>
  <si>
    <t>756648805514</t>
  </si>
  <si>
    <t>Elaine Evangelista Assuncao</t>
  </si>
  <si>
    <t>Alberto Freitas Pastrocinio</t>
  </si>
  <si>
    <t>Erick Azevedo Meireles</t>
  </si>
  <si>
    <t>Av. Paulista, 1547</t>
  </si>
  <si>
    <t>1723446766</t>
  </si>
  <si>
    <t>557275120360</t>
  </si>
  <si>
    <t>Célia Avila Azevedo</t>
  </si>
  <si>
    <t>Geraldo Palma Meireles</t>
  </si>
  <si>
    <t>Gilmar Freire Marinho</t>
  </si>
  <si>
    <t>Av. Goiás, 2151</t>
  </si>
  <si>
    <t>6028533002</t>
  </si>
  <si>
    <t>847632191613</t>
  </si>
  <si>
    <t>Amélia Moita Freire</t>
  </si>
  <si>
    <t>Everaldo Monteiro Marinho</t>
  </si>
  <si>
    <t>Adalberto Negrao Neves</t>
  </si>
  <si>
    <t>Av. Brasil, 2522</t>
  </si>
  <si>
    <t>5262832468</t>
  </si>
  <si>
    <t>152572923643</t>
  </si>
  <si>
    <t>Astrid Xavier Negrao</t>
  </si>
  <si>
    <t>Erick Paes Neves</t>
  </si>
  <si>
    <t>Daniel Lozano Neves</t>
  </si>
  <si>
    <t>Av. Ceará, 797</t>
  </si>
  <si>
    <t>5265242178</t>
  </si>
  <si>
    <t>604003521998</t>
  </si>
  <si>
    <t>Coralina Gusmao Lozano</t>
  </si>
  <si>
    <t>Everton Goulart Neves</t>
  </si>
  <si>
    <t>Célia Madureira Nunes</t>
  </si>
  <si>
    <t>Av. Paulista, 2783</t>
  </si>
  <si>
    <t>8961116647</t>
  </si>
  <si>
    <t>013325045318</t>
  </si>
  <si>
    <t>Cássia Ornellas Madureira</t>
  </si>
  <si>
    <t>Iuri Laranjeira Nunes</t>
  </si>
  <si>
    <t>Aurora Moraes Barros</t>
  </si>
  <si>
    <t>Av. Agamenon Magalhães, 1070</t>
  </si>
  <si>
    <t>6194448933</t>
  </si>
  <si>
    <t>642209758539</t>
  </si>
  <si>
    <t>Daiana Garcez Moraes</t>
  </si>
  <si>
    <t>Ineu Borges Barros</t>
  </si>
  <si>
    <t>Gertrudes Frota Camargo</t>
  </si>
  <si>
    <t>Av. Antônio Trajano, 1153</t>
  </si>
  <si>
    <t>7905310780</t>
  </si>
  <si>
    <t>074683398281</t>
  </si>
  <si>
    <t>Heloísa Lins Frota</t>
  </si>
  <si>
    <t>Cassiano Caceres Camargo</t>
  </si>
  <si>
    <t>Haroldo Geraldo Ladeira</t>
  </si>
  <si>
    <t>Av. Historiador Rubens de Mendonça, 2668</t>
  </si>
  <si>
    <t>6545840243</t>
  </si>
  <si>
    <t>165002316618</t>
  </si>
  <si>
    <t>Eunice Padilha Geraldo</t>
  </si>
  <si>
    <t>Gaspar Xavier Ladeira</t>
  </si>
  <si>
    <t>Francisca Lousada Aranha</t>
  </si>
  <si>
    <t>Av. Parque, 2404</t>
  </si>
  <si>
    <t>1678216654</t>
  </si>
  <si>
    <t>965949471342</t>
  </si>
  <si>
    <t>Eneida Bueno Lousada</t>
  </si>
  <si>
    <t>Frederico Duarte Aranha</t>
  </si>
  <si>
    <t>Heitor Paranhos Vieira</t>
  </si>
  <si>
    <t>Av. Guararapes, 560</t>
  </si>
  <si>
    <t>8018423569</t>
  </si>
  <si>
    <t>652169054828</t>
  </si>
  <si>
    <t>Renata Cantanhede Paranhos</t>
  </si>
  <si>
    <t>Gisvaldo Rodrigues Vieira</t>
  </si>
  <si>
    <t>Andrea Neto Holanda</t>
  </si>
  <si>
    <t>Av. Soares Lopes, 2326</t>
  </si>
  <si>
    <t>4500667622</t>
  </si>
  <si>
    <t>209720902724</t>
  </si>
  <si>
    <t>Angelica Mendonca Neto</t>
  </si>
  <si>
    <t>Elias Laranjeira Holanda</t>
  </si>
  <si>
    <t>Ana Santos Paixao</t>
  </si>
  <si>
    <t>Rodovia BR-316, 803</t>
  </si>
  <si>
    <t>5231346866</t>
  </si>
  <si>
    <t>541989410831</t>
  </si>
  <si>
    <t>Fabiana Negrao Santos</t>
  </si>
  <si>
    <t>Gilson Moreira Paixao</t>
  </si>
  <si>
    <t>Alejandro Moreira Castello</t>
  </si>
  <si>
    <t>Av. Nereu Ramos, 3923</t>
  </si>
  <si>
    <t>4251760874</t>
  </si>
  <si>
    <t>631631225973</t>
  </si>
  <si>
    <t>Maria Moura Moreira</t>
  </si>
  <si>
    <t>Ivanilson Mangabeira Castello</t>
  </si>
  <si>
    <t>Deise Lucena Costa</t>
  </si>
  <si>
    <t>Av. das Figueiras, 1779</t>
  </si>
  <si>
    <t>2969668397</t>
  </si>
  <si>
    <t>601782393208</t>
  </si>
  <si>
    <t>Cora Teixeira Lucena</t>
  </si>
  <si>
    <t>Guto Nogueira Costa</t>
  </si>
  <si>
    <t>Carina Duarte Henriques</t>
  </si>
  <si>
    <t>Av. Amazonas, 2030</t>
  </si>
  <si>
    <t>5041015730</t>
  </si>
  <si>
    <t>987752572940</t>
  </si>
  <si>
    <t>Carmem Mangabeira Duarte</t>
  </si>
  <si>
    <t>Casemiro Nascimento Henriques</t>
  </si>
  <si>
    <t>Dario Faustino Noronha</t>
  </si>
  <si>
    <t>Av. Higienópolis, 2620</t>
  </si>
  <si>
    <t>1012907707</t>
  </si>
  <si>
    <t>695570678623</t>
  </si>
  <si>
    <t>Érika Jordao Faustino</t>
  </si>
  <si>
    <t>Jader Neves Noronha</t>
  </si>
  <si>
    <t>Chantal Mascarenhas Lozano</t>
  </si>
  <si>
    <t>Via W3 Sul, 1436</t>
  </si>
  <si>
    <t>0510034169</t>
  </si>
  <si>
    <t>623600524107</t>
  </si>
  <si>
    <t>Alexia Marques Mascarenhas</t>
  </si>
  <si>
    <t>Edilson Lopes Lozano</t>
  </si>
  <si>
    <t>Iomar Ribeiro Ferreira</t>
  </si>
  <si>
    <t>Largo Dom Fernando Gomes, 3125</t>
  </si>
  <si>
    <t>0974699771</t>
  </si>
  <si>
    <t>597062113329</t>
  </si>
  <si>
    <t>Eloá Pastore Ribeiro</t>
  </si>
  <si>
    <t>Chico Borges Ferreira</t>
  </si>
  <si>
    <t>Juliana Andrade Pastrocinio</t>
  </si>
  <si>
    <t>Av. Higienópolis, 3506</t>
  </si>
  <si>
    <t>1701201020</t>
  </si>
  <si>
    <t>297262090331</t>
  </si>
  <si>
    <t>Debora Antunes Andrade</t>
  </si>
  <si>
    <t>Jamil Campos Pastrocinio</t>
  </si>
  <si>
    <t>Gledson Santos Moita</t>
  </si>
  <si>
    <t>Rua São Pedro, 2956</t>
  </si>
  <si>
    <t>4401209773</t>
  </si>
  <si>
    <t>746396285287</t>
  </si>
  <si>
    <t>Candida Giacomini Santos</t>
  </si>
  <si>
    <t>Dante Mata Moita</t>
  </si>
  <si>
    <t>Jeferson Malta Moreira</t>
  </si>
  <si>
    <t>Rua XV de Novembro, 2274</t>
  </si>
  <si>
    <t>2127563665</t>
  </si>
  <si>
    <t>298805501277</t>
  </si>
  <si>
    <t>Elisabete Giacomini Malta</t>
  </si>
  <si>
    <t>Haroldo Magalhaes Moreira</t>
  </si>
  <si>
    <t>Jandira Palhares Diniz</t>
  </si>
  <si>
    <t>Largo Dom Fernando Gomes, 1994</t>
  </si>
  <si>
    <t>4582077995</t>
  </si>
  <si>
    <t>321703536074</t>
  </si>
  <si>
    <t>Erica Gama Palhares</t>
  </si>
  <si>
    <t>Breno Carrasco Diniz</t>
  </si>
  <si>
    <t>Caciano Moreira Godoy</t>
  </si>
  <si>
    <t>Av. Epitácio Pessoa, 1927</t>
  </si>
  <si>
    <t>4098934763</t>
  </si>
  <si>
    <t>073123171899</t>
  </si>
  <si>
    <t>Cleide Azevedo Moreira</t>
  </si>
  <si>
    <t>Guto Borges Godoy</t>
  </si>
  <si>
    <t>Hortencio Assis Espinosa</t>
  </si>
  <si>
    <t>Av. República do Líbano, 2747</t>
  </si>
  <si>
    <t>1685750149</t>
  </si>
  <si>
    <t>005772073254</t>
  </si>
  <si>
    <t>Eneida Ribeiro Assis</t>
  </si>
  <si>
    <t>Adalberto Neto Espinosa</t>
  </si>
  <si>
    <t>Derick Casanova Passos</t>
  </si>
  <si>
    <t>Av. Piauí, 2805</t>
  </si>
  <si>
    <t>9932787223</t>
  </si>
  <si>
    <t>083874527782</t>
  </si>
  <si>
    <t>Eloá Meireles Casanova</t>
  </si>
  <si>
    <t>Gilmar Nobre Passos</t>
  </si>
  <si>
    <t>Gilson Lozano Malta</t>
  </si>
  <si>
    <t>Av. Alberto Maranhão, 2432</t>
  </si>
  <si>
    <t>0129906452</t>
  </si>
  <si>
    <t>910375775206</t>
  </si>
  <si>
    <t>Graça Dantas Lozano</t>
  </si>
  <si>
    <t>Flavio Paranhos Malta</t>
  </si>
  <si>
    <t>Ivete Brito Assis</t>
  </si>
  <si>
    <t>Av. Bucar Neto, 1877</t>
  </si>
  <si>
    <t>4007558945</t>
  </si>
  <si>
    <t>337260465568</t>
  </si>
  <si>
    <t>Aura Moraes Brito</t>
  </si>
  <si>
    <t>Helio Xavier Assis</t>
  </si>
  <si>
    <t>Evandro Braga Lopes</t>
  </si>
  <si>
    <t>Av. Getúlio Vargas, 2417</t>
  </si>
  <si>
    <t>3183992098</t>
  </si>
  <si>
    <t>863252369426</t>
  </si>
  <si>
    <t>Erica Cabral Braga</t>
  </si>
  <si>
    <t>Douglas Mesquita Lopes</t>
  </si>
  <si>
    <t>Dinorá Furquim Cantanhede</t>
  </si>
  <si>
    <t>Av. Caxangá, 1952</t>
  </si>
  <si>
    <t>3291806242</t>
  </si>
  <si>
    <t>012452090595</t>
  </si>
  <si>
    <t>Cleonice Montenegro Furquim</t>
  </si>
  <si>
    <t>Jeremias Cardoso Cantanhede</t>
  </si>
  <si>
    <t>Cloé Monforte Paes</t>
  </si>
  <si>
    <t>Av. Marcelino Pires, 68</t>
  </si>
  <si>
    <t>2323107444</t>
  </si>
  <si>
    <t>701362851514</t>
  </si>
  <si>
    <t>Glauce Muricy Monforte</t>
  </si>
  <si>
    <t>Jaime Rocha Paes</t>
  </si>
  <si>
    <t>Deise Garrido Luz</t>
  </si>
  <si>
    <t>Av. Goiás, 104</t>
  </si>
  <si>
    <t>5266158403</t>
  </si>
  <si>
    <t>106478121266</t>
  </si>
  <si>
    <t>Jaqueline Freire Garrido</t>
  </si>
  <si>
    <t>Apostolo Soares Luz</t>
  </si>
  <si>
    <t>Adriano Avila Barros</t>
  </si>
  <si>
    <t>Rua do Imperador, 2613</t>
  </si>
  <si>
    <t>5980555244</t>
  </si>
  <si>
    <t>465652167390</t>
  </si>
  <si>
    <t>Emily Assuncao Avila</t>
  </si>
  <si>
    <t>Januario Assis Barros</t>
  </si>
  <si>
    <t>Bruno Campos Dias</t>
  </si>
  <si>
    <t>Rua dos Tupinambás, 3258</t>
  </si>
  <si>
    <t>1536198648</t>
  </si>
  <si>
    <t>793559210361</t>
  </si>
  <si>
    <t>Camila Ferreira Campos</t>
  </si>
  <si>
    <t>Jacinto Cabral Dias</t>
  </si>
  <si>
    <t>Gilberto Cabral Horta</t>
  </si>
  <si>
    <t>Rua XV de Novembro, 2113</t>
  </si>
  <si>
    <t>3102859121</t>
  </si>
  <si>
    <t>543377446218</t>
  </si>
  <si>
    <t>Conceição Nogueira Cabral</t>
  </si>
  <si>
    <t>Arthur Assis Horta</t>
  </si>
  <si>
    <t>Dinorá Nascimento Girao</t>
  </si>
  <si>
    <t>Rua São Pedro, 517</t>
  </si>
  <si>
    <t>9171341388</t>
  </si>
  <si>
    <t>603971838776</t>
  </si>
  <si>
    <t>Ivonete Figueiredo Nascimento</t>
  </si>
  <si>
    <t>Benicio Braga Girao</t>
  </si>
  <si>
    <t>Daniel Cabral Horta</t>
  </si>
  <si>
    <t>Av. Alfredo Nasser, 3499</t>
  </si>
  <si>
    <t>5310318253</t>
  </si>
  <si>
    <t>020183372799</t>
  </si>
  <si>
    <t>Carina Cunha Cabral</t>
  </si>
  <si>
    <t>Leonardo Ferreira Horta</t>
  </si>
  <si>
    <t>Cordélia Bernardes Souza</t>
  </si>
  <si>
    <t>Av. São Sebastião, 1419</t>
  </si>
  <si>
    <t>7654985800</t>
  </si>
  <si>
    <t>195193109236</t>
  </si>
  <si>
    <t>Cibele Pacheco Bernardes</t>
  </si>
  <si>
    <t>Felix Almeida Souza</t>
  </si>
  <si>
    <t>Ilan Lins Cordeiro</t>
  </si>
  <si>
    <t>Av. Senhor dos Passos, 2831</t>
  </si>
  <si>
    <t>0880837951</t>
  </si>
  <si>
    <t>036420355889</t>
  </si>
  <si>
    <t>Alexia Lourenco Lins</t>
  </si>
  <si>
    <t>Haroldo Pereira Cordeiro</t>
  </si>
  <si>
    <t>Eduardo Branco Ladeira</t>
  </si>
  <si>
    <t>Av. Sete de Setembro, 292</t>
  </si>
  <si>
    <t>0851403615</t>
  </si>
  <si>
    <t>916073277002</t>
  </si>
  <si>
    <t>Constança Lagos Branco</t>
  </si>
  <si>
    <t>Cristovao Mendes Ladeira</t>
  </si>
  <si>
    <t>Graciela Pacheco Figueiredo</t>
  </si>
  <si>
    <t>Av. João César de Oliveira, 3019</t>
  </si>
  <si>
    <t>5979399930</t>
  </si>
  <si>
    <t>758435190271</t>
  </si>
  <si>
    <t>Ariane Nobrega Pacheco</t>
  </si>
  <si>
    <t>Elton Cunha Figueiredo</t>
  </si>
  <si>
    <t>Cássia Campos Carneiro</t>
  </si>
  <si>
    <t>Av. Dr. Adhemar de Barros, 71</t>
  </si>
  <si>
    <t>8184929379</t>
  </si>
  <si>
    <t>627379851698</t>
  </si>
  <si>
    <t>Ceres Andrade Campos</t>
  </si>
  <si>
    <t>Gustavo Furquim Carneiro</t>
  </si>
  <si>
    <t>Debora Belmonte Frota</t>
  </si>
  <si>
    <t>Rodovia BR-316, 889</t>
  </si>
  <si>
    <t>6417908127</t>
  </si>
  <si>
    <t>190303819952</t>
  </si>
  <si>
    <t>Irene Mello Belmonte</t>
  </si>
  <si>
    <t>Dagoberto Palhares Frota</t>
  </si>
  <si>
    <t>Cacilda Barreto Mascarenhas</t>
  </si>
  <si>
    <t>Av. Bucar Neto, 1030</t>
  </si>
  <si>
    <t>6218946490</t>
  </si>
  <si>
    <t>620809728203</t>
  </si>
  <si>
    <t>Cícera Meireles Barreto</t>
  </si>
  <si>
    <t>Breno Soares Mascarenhas</t>
  </si>
  <si>
    <t>Guilherme Lagos Antunes</t>
  </si>
  <si>
    <t>Av. Antônio Trajano, 3954</t>
  </si>
  <si>
    <t>5351624236</t>
  </si>
  <si>
    <t>332183103989</t>
  </si>
  <si>
    <t>Renata Silva Lagos</t>
  </si>
  <si>
    <t>Breno Girao Antunes</t>
  </si>
  <si>
    <t>Cristovao Negrao Delgado</t>
  </si>
  <si>
    <t>Av. Edson da Mota Correia, 88</t>
  </si>
  <si>
    <t>6300263163</t>
  </si>
  <si>
    <t>219647815576</t>
  </si>
  <si>
    <t>Maria Carrasco Negrao</t>
  </si>
  <si>
    <t>Benjamin Vieira Delgado</t>
  </si>
  <si>
    <t>Rodrigo Alves Godoy</t>
  </si>
  <si>
    <t>Rua Moreira César, 2685</t>
  </si>
  <si>
    <t>2895802727</t>
  </si>
  <si>
    <t>517807532094</t>
  </si>
  <si>
    <t>Irene Junqueira Alves</t>
  </si>
  <si>
    <t>Benjamin Inacio Godoy</t>
  </si>
  <si>
    <t>Amália Avila Barbosa</t>
  </si>
  <si>
    <t>Via W3 Sul, 3483</t>
  </si>
  <si>
    <t>6535420815</t>
  </si>
  <si>
    <t>965430902822</t>
  </si>
  <si>
    <t>Cleusa Inacio Avila</t>
  </si>
  <si>
    <t>Bernard Palhares Barbosa</t>
  </si>
  <si>
    <t>Inacio Moreira Leal</t>
  </si>
  <si>
    <t>Av. Loureiro da Silva, 3120</t>
  </si>
  <si>
    <t>7832615361</t>
  </si>
  <si>
    <t>066009308030</t>
  </si>
  <si>
    <t>Augusta Lacerda Moreira</t>
  </si>
  <si>
    <t>Adilson Lucena Leal</t>
  </si>
  <si>
    <t>Gelson Farias Coelho</t>
  </si>
  <si>
    <t>Av. Dom José, 2058</t>
  </si>
  <si>
    <t>9927701258</t>
  </si>
  <si>
    <t>593414342485</t>
  </si>
  <si>
    <t>Fátima Garrido Farias</t>
  </si>
  <si>
    <t>Alan Nobre Coelho</t>
  </si>
  <si>
    <t>Fabio Muricy Ladeira</t>
  </si>
  <si>
    <t>Rua dos Tupinambás, 2357</t>
  </si>
  <si>
    <t>8004530628</t>
  </si>
  <si>
    <t>846370196843</t>
  </si>
  <si>
    <t>Eveline Esteves Muricy</t>
  </si>
  <si>
    <t>Fred Cintra Ladeira</t>
  </si>
  <si>
    <t>Ildo Moita Pamplona</t>
  </si>
  <si>
    <t>Av. Brigadeiro Everaldo Breves, 1638</t>
  </si>
  <si>
    <t>9975935043</t>
  </si>
  <si>
    <t>739972989843</t>
  </si>
  <si>
    <t>Janice Barros Moita</t>
  </si>
  <si>
    <t>Anderson Fonseca Pamplona</t>
  </si>
  <si>
    <t>Flavio Batista Domingues</t>
  </si>
  <si>
    <t>Av. Dante Michelini, 3543</t>
  </si>
  <si>
    <t>2231768752</t>
  </si>
  <si>
    <t>949641729569</t>
  </si>
  <si>
    <t>Filomena Paschoal Batista</t>
  </si>
  <si>
    <t>Elias Neves Domingues</t>
  </si>
  <si>
    <t>Analu Fernandes Lucena</t>
  </si>
  <si>
    <t>Av. Governador Leonel Brizola, 3887</t>
  </si>
  <si>
    <t>6191909474</t>
  </si>
  <si>
    <t>413018230204</t>
  </si>
  <si>
    <t>Cleonice Garrido Fernandes</t>
  </si>
  <si>
    <t>Everaldo Noronha Lucena</t>
  </si>
  <si>
    <t>Ingrid Casagrande Leal</t>
  </si>
  <si>
    <t>Av. Copacabana, 2042</t>
  </si>
  <si>
    <t>7403893206</t>
  </si>
  <si>
    <t>892125953926</t>
  </si>
  <si>
    <t>Daiana Neves Casagrande</t>
  </si>
  <si>
    <t>Alejandro Lago Leal</t>
  </si>
  <si>
    <t>Brian Gimenez Passos</t>
  </si>
  <si>
    <t>Av. Ville Roy, 2076</t>
  </si>
  <si>
    <t>1609308623</t>
  </si>
  <si>
    <t>111321055030</t>
  </si>
  <si>
    <t>Eloá Gouveia Gimenez</t>
  </si>
  <si>
    <t>Ivandro Andrade Passos</t>
  </si>
  <si>
    <t>Edson Pinto Rocha</t>
  </si>
  <si>
    <t>Av. Guilherme Schell, 1951</t>
  </si>
  <si>
    <t>8227011697</t>
  </si>
  <si>
    <t>418096534980</t>
  </si>
  <si>
    <t>Camila Naves Pinto</t>
  </si>
  <si>
    <t>Angelo Cavalcante Rocha</t>
  </si>
  <si>
    <t>Cleusa Almeida Espinosa</t>
  </si>
  <si>
    <t>Av. Caxangá, 3640</t>
  </si>
  <si>
    <t>2324940428</t>
  </si>
  <si>
    <t>479688452505</t>
  </si>
  <si>
    <t>Íris Malta Almeida</t>
  </si>
  <si>
    <t>Elias Ortiz Espinosa</t>
  </si>
  <si>
    <t>Candida Evangelista Holanda</t>
  </si>
  <si>
    <t>Av. Jerônimo de Albuquerque, 875</t>
  </si>
  <si>
    <t>4526162426</t>
  </si>
  <si>
    <t>836017222793</t>
  </si>
  <si>
    <t>Renata Mello Evangelista</t>
  </si>
  <si>
    <t>Biel Marinho Holanda</t>
  </si>
  <si>
    <t>Helder Borges Lourenco</t>
  </si>
  <si>
    <t>Av. Ana Costa, 1518</t>
  </si>
  <si>
    <t>5839017199</t>
  </si>
  <si>
    <t>878412233946</t>
  </si>
  <si>
    <t>Dione Lago Borges</t>
  </si>
  <si>
    <t>Charles Fraga Lourenco</t>
  </si>
  <si>
    <t>Igor Luz Fernandes</t>
  </si>
  <si>
    <t>Av. IV, 512</t>
  </si>
  <si>
    <t>5972217691</t>
  </si>
  <si>
    <t>782744655474</t>
  </si>
  <si>
    <t>Mariana Gaspar Luz</t>
  </si>
  <si>
    <t>Edilson Nobrega Fernandes</t>
  </si>
  <si>
    <t>Cristina Carvalho Luz</t>
  </si>
  <si>
    <t>7958039920</t>
  </si>
  <si>
    <t>656352533037</t>
  </si>
  <si>
    <t>Diná Pinto Carvalho</t>
  </si>
  <si>
    <t>Hamilton Cordeiro Luz</t>
  </si>
  <si>
    <t>Analu Marcondes Vieira</t>
  </si>
  <si>
    <t>Av. Parque, 2334</t>
  </si>
  <si>
    <t>2697676763</t>
  </si>
  <si>
    <t>513609435591</t>
  </si>
  <si>
    <t>Delia Moraes Marcondes</t>
  </si>
  <si>
    <t>Elton Esteves Vieira</t>
  </si>
  <si>
    <t>Brigite Barbosa Antunes</t>
  </si>
  <si>
    <t>Av. Senhor dos Passos, 2666</t>
  </si>
  <si>
    <t>5046564208</t>
  </si>
  <si>
    <t>774038855979</t>
  </si>
  <si>
    <t>Dione Guerra Barbosa</t>
  </si>
  <si>
    <t>Iomar Muniz Antunes</t>
  </si>
  <si>
    <t>Afonso Frota Giacomini</t>
  </si>
  <si>
    <t>Av. Afonso Pena, 2939</t>
  </si>
  <si>
    <t>5943677658</t>
  </si>
  <si>
    <t>984286320446</t>
  </si>
  <si>
    <t>Gisela Lozano Frota</t>
  </si>
  <si>
    <t>Jeremias Ferreira Giacomini</t>
  </si>
  <si>
    <t>Izabel Belmonte Cabral</t>
  </si>
  <si>
    <t>Av. Senhor dos Passos, 1038</t>
  </si>
  <si>
    <t>4722418878</t>
  </si>
  <si>
    <t>842707480351</t>
  </si>
  <si>
    <t>Elba Nascimento Belmonte</t>
  </si>
  <si>
    <t>Gilmar Azevedo Cabral</t>
  </si>
  <si>
    <t>Aline Ribeiro Neto</t>
  </si>
  <si>
    <t>Av. Vicente Machado, 2989</t>
  </si>
  <si>
    <t>0582767041</t>
  </si>
  <si>
    <t>168095333455</t>
  </si>
  <si>
    <t>Érika Delgado Ribeiro</t>
  </si>
  <si>
    <t>Giordano Giacomini Neto</t>
  </si>
  <si>
    <t>Carlos Antunes Caceres</t>
  </si>
  <si>
    <t>Rua do Imperador, 410</t>
  </si>
  <si>
    <t>9971735020</t>
  </si>
  <si>
    <t>965856093283</t>
  </si>
  <si>
    <t>Estela Pereira Antunes</t>
  </si>
  <si>
    <t>Franciscano Farias Caceres</t>
  </si>
  <si>
    <t>Cristovao Batista Neves</t>
  </si>
  <si>
    <t>Av. Alberto Torres, 323</t>
  </si>
  <si>
    <t>4439986017</t>
  </si>
  <si>
    <t>669895334490</t>
  </si>
  <si>
    <t>Ivone Horta Batista</t>
  </si>
  <si>
    <t>Alberto Franco Neves</t>
  </si>
  <si>
    <t>Elias Cavalcante Jordao</t>
  </si>
  <si>
    <t>Rua da Praia, 2513</t>
  </si>
  <si>
    <t>2990131869</t>
  </si>
  <si>
    <t>408940421716</t>
  </si>
  <si>
    <t>Aparecida Nunes Cavalcante</t>
  </si>
  <si>
    <t>Derick Carvalho Jordao</t>
  </si>
  <si>
    <t>Isabel Caldeira Firmeza</t>
  </si>
  <si>
    <t>Av. Presidente Kennedy, 2123</t>
  </si>
  <si>
    <t>6392745460</t>
  </si>
  <si>
    <t>509513599257</t>
  </si>
  <si>
    <t>Gertrudes Molina Caldeira</t>
  </si>
  <si>
    <t>Inacio Passos Firmeza</t>
  </si>
  <si>
    <t>Clodoaldo Morais Passos</t>
  </si>
  <si>
    <t>Av. Dr. Yvens Cordeiro, 62</t>
  </si>
  <si>
    <t>1491752948</t>
  </si>
  <si>
    <t>358710328591</t>
  </si>
  <si>
    <t>Daiane Chaves Morais</t>
  </si>
  <si>
    <t>Edgar Montenegro Passos</t>
  </si>
  <si>
    <t>Aparicio Meneses Vieira</t>
  </si>
  <si>
    <t>Av. Amazonas, 2943</t>
  </si>
  <si>
    <t>2847585264</t>
  </si>
  <si>
    <t>776732801121</t>
  </si>
  <si>
    <t>Angela Cintra Meneses</t>
  </si>
  <si>
    <t>Felix Jesus Vieira</t>
  </si>
  <si>
    <t>Mateus Martins Cavalcante</t>
  </si>
  <si>
    <t>Av. Parque, 1513</t>
  </si>
  <si>
    <t>3443772997</t>
  </si>
  <si>
    <t>427400214171</t>
  </si>
  <si>
    <t>Dinorá Nunes Martins</t>
  </si>
  <si>
    <t>Gilberto Holanda Cavalcante</t>
  </si>
  <si>
    <t>Carminha Bueno Almeida</t>
  </si>
  <si>
    <t>Av. Santana, 632</t>
  </si>
  <si>
    <t>7784354834</t>
  </si>
  <si>
    <t>416683326148</t>
  </si>
  <si>
    <t>Janete Garrido Bueno</t>
  </si>
  <si>
    <t>Elton Madureira Almeida</t>
  </si>
  <si>
    <t>Fabiana Paixao Ortega</t>
  </si>
  <si>
    <t>Av. Alberto Maranhão, 359</t>
  </si>
  <si>
    <t>5097618981</t>
  </si>
  <si>
    <t>107633512883</t>
  </si>
  <si>
    <t>Larissa Guerra Paixao</t>
  </si>
  <si>
    <t>Claudio Baptista Ortega</t>
  </si>
  <si>
    <t>Aparicio Camacho Nascimento</t>
  </si>
  <si>
    <t>Av. Hermes da Fonseca, 833</t>
  </si>
  <si>
    <t>4903283727</t>
  </si>
  <si>
    <t>556914486397</t>
  </si>
  <si>
    <t>Cícera Junqueira Camacho</t>
  </si>
  <si>
    <t>Eric Passos Nascimento</t>
  </si>
  <si>
    <t>Elton Freire Mascarenhas</t>
  </si>
  <si>
    <t>Av. Paulo de Frontin, 2775</t>
  </si>
  <si>
    <t>4325168925</t>
  </si>
  <si>
    <t>596393790639</t>
  </si>
  <si>
    <t>Constança Assis Freire</t>
  </si>
  <si>
    <t>Frederico Fonseca Mascarenhas</t>
  </si>
  <si>
    <t>Brigite Garrido Montenegro</t>
  </si>
  <si>
    <t>Av. Goiás, 760</t>
  </si>
  <si>
    <t>0617817590</t>
  </si>
  <si>
    <t>918104771047</t>
  </si>
  <si>
    <t>Dinorá Cardoso Garrido</t>
  </si>
  <si>
    <t>Federico Paschoal Montenegro</t>
  </si>
  <si>
    <t>Chantal Moreira Palma</t>
  </si>
  <si>
    <t>Av. Santana, 1669</t>
  </si>
  <si>
    <t>5311044852</t>
  </si>
  <si>
    <t>777257216462</t>
  </si>
  <si>
    <t>Cleusa Mello Moreira</t>
  </si>
  <si>
    <t>Ivandro Firmeza Palma</t>
  </si>
  <si>
    <t>Brenda Brito Aranha</t>
  </si>
  <si>
    <t>Rua da Praia, 3057</t>
  </si>
  <si>
    <t>0918196294</t>
  </si>
  <si>
    <t>170201580922</t>
  </si>
  <si>
    <t>Arlene Cabral Brito</t>
  </si>
  <si>
    <t>Demétrio Coimbra Aranha</t>
  </si>
  <si>
    <t>Donizete Neto Monteiro</t>
  </si>
  <si>
    <t>Av. Teotônio Segurado, 637</t>
  </si>
  <si>
    <t>7024903313</t>
  </si>
  <si>
    <t>633242323379</t>
  </si>
  <si>
    <t>Aurelia Naves Neto</t>
  </si>
  <si>
    <t>Adriano Girao Monteiro</t>
  </si>
  <si>
    <t>Francine Maciel Dornelles</t>
  </si>
  <si>
    <t>Rua São Pedro, 834</t>
  </si>
  <si>
    <t>7343247072</t>
  </si>
  <si>
    <t>458053539687</t>
  </si>
  <si>
    <t>Cíntia Xavier Maciel</t>
  </si>
  <si>
    <t>Guilherme Nobrega Dornelles</t>
  </si>
  <si>
    <t>Evandro Morais Coelho</t>
  </si>
  <si>
    <t>Av. Brasil, 177</t>
  </si>
  <si>
    <t>1605854766</t>
  </si>
  <si>
    <t>064031906176</t>
  </si>
  <si>
    <t>Luana Bittencourt Morais</t>
  </si>
  <si>
    <t>Alexandre Paranhos Coelho</t>
  </si>
  <si>
    <t>Renata Belmonte Malta</t>
  </si>
  <si>
    <t>Av. Governador Leonel Brizola, 2014</t>
  </si>
  <si>
    <t>6874015413</t>
  </si>
  <si>
    <t>478915619807</t>
  </si>
  <si>
    <t>Almerinda Gonzaga Belmonte</t>
  </si>
  <si>
    <t>Federico Bittencourt Malta</t>
  </si>
  <si>
    <t>Benjamin Padilha Leite</t>
  </si>
  <si>
    <t>Av. Guilherme Schell, 1378</t>
  </si>
  <si>
    <t>1869956254</t>
  </si>
  <si>
    <t>902212960119</t>
  </si>
  <si>
    <t>Alice Coimbra Padilha</t>
  </si>
  <si>
    <t>Jefferson Freitas Leite</t>
  </si>
  <si>
    <t>Ingrid Negrao Ornellas</t>
  </si>
  <si>
    <t>Av. Hermes da Fonseca, 3094</t>
  </si>
  <si>
    <t>7675805135</t>
  </si>
  <si>
    <t>414836884484</t>
  </si>
  <si>
    <t>Geralda Soares Negrao</t>
  </si>
  <si>
    <t>Geremias Machado Ornellas</t>
  </si>
  <si>
    <t>Dafne Henriques Jardim</t>
  </si>
  <si>
    <t>Av. Rui Barbosa, 2226</t>
  </si>
  <si>
    <t>2212678357</t>
  </si>
  <si>
    <t>555302164208</t>
  </si>
  <si>
    <t>Graziela Gentil Henriques</t>
  </si>
  <si>
    <t>Galdino Castro Jardim</t>
  </si>
  <si>
    <t>Eliezer Avila Ornellas</t>
  </si>
  <si>
    <t>Rodovia BR-316, 3194</t>
  </si>
  <si>
    <t>9964440359</t>
  </si>
  <si>
    <t>475026651555</t>
  </si>
  <si>
    <t>Astrid Lousada Avila</t>
  </si>
  <si>
    <t>Cassio Oliveira Ornellas</t>
  </si>
  <si>
    <t>Dante Cordeiro Marques</t>
  </si>
  <si>
    <t>Av. Edson da Mota Correia, 381</t>
  </si>
  <si>
    <t>6599632376</t>
  </si>
  <si>
    <t>528806231487</t>
  </si>
  <si>
    <t>Debora Ribeiro Cordeiro</t>
  </si>
  <si>
    <t>Ismael Delgado Marques</t>
  </si>
  <si>
    <t>Juliana Gentil Vieira</t>
  </si>
  <si>
    <t>Via W3 Sul, 733</t>
  </si>
  <si>
    <t>3117781505</t>
  </si>
  <si>
    <t>714306695558</t>
  </si>
  <si>
    <t>Ana Filgueiras Gentil</t>
  </si>
  <si>
    <t>Ildo Aranha Vieira</t>
  </si>
  <si>
    <t>Daniel Lucena Gama</t>
  </si>
  <si>
    <t>Av. Central, 3773</t>
  </si>
  <si>
    <t>6775358428</t>
  </si>
  <si>
    <t>586773602643</t>
  </si>
  <si>
    <t>Dulce Coimbra Lucena</t>
  </si>
  <si>
    <t>Emilio Muniz Gama</t>
  </si>
  <si>
    <t>Gilmar Jardim Moreira</t>
  </si>
  <si>
    <t>Av. Coletora A, 2483</t>
  </si>
  <si>
    <t>4480635263</t>
  </si>
  <si>
    <t>518276392312</t>
  </si>
  <si>
    <t>Carla Assuncao Jardim</t>
  </si>
  <si>
    <t>Dagoberto Mascarenhas Moreira</t>
  </si>
  <si>
    <t>Djalmir Novaes Marcondes</t>
  </si>
  <si>
    <t>Rodovia BR-316, 279</t>
  </si>
  <si>
    <t>5764194447</t>
  </si>
  <si>
    <t>842978208476</t>
  </si>
  <si>
    <t>Cilene Azevedo Novaes</t>
  </si>
  <si>
    <t>Cris Molina Marcondes</t>
  </si>
  <si>
    <t>Cassiano Souza Maciel</t>
  </si>
  <si>
    <t>Av. Loureiro da Silva, 3133</t>
  </si>
  <si>
    <t>6757874583</t>
  </si>
  <si>
    <t>347336973844</t>
  </si>
  <si>
    <t>Fátima Lozano Souza</t>
  </si>
  <si>
    <t>Amadeu Moreira Maciel</t>
  </si>
  <si>
    <t>Jader Coelho Camacho</t>
  </si>
  <si>
    <t>Av. Constantino Nery, 2300</t>
  </si>
  <si>
    <t>6208631564</t>
  </si>
  <si>
    <t>900410848732</t>
  </si>
  <si>
    <t>Graciela Bello Coelho</t>
  </si>
  <si>
    <t>Italo Lacerda Camacho</t>
  </si>
  <si>
    <t>Emanuel Pastrocinio Espinosa</t>
  </si>
  <si>
    <t>Av. Loureiro da Silva, 3607</t>
  </si>
  <si>
    <t>4281970919</t>
  </si>
  <si>
    <t>087141034175</t>
  </si>
  <si>
    <t>Jane Brito Pastrocinio</t>
  </si>
  <si>
    <t>Vitor Alves Espinosa</t>
  </si>
  <si>
    <t>Alberto Meneses Azevedo</t>
  </si>
  <si>
    <t>Av. Fernandes Lima, 879</t>
  </si>
  <si>
    <t>6919426945</t>
  </si>
  <si>
    <t>764544223680</t>
  </si>
  <si>
    <t>Eleonora Chaves Meneses</t>
  </si>
  <si>
    <t>Jairo Freitas Azevedo</t>
  </si>
  <si>
    <t>Eliseu Campos Igrejas</t>
  </si>
  <si>
    <t>Av. IV, 1020</t>
  </si>
  <si>
    <t>5718823472</t>
  </si>
  <si>
    <t>449962996803</t>
  </si>
  <si>
    <t>Aline Feitosa Campos</t>
  </si>
  <si>
    <t>Fernando Passos Igrejas</t>
  </si>
  <si>
    <t>Fabiana Palma Caldas</t>
  </si>
  <si>
    <t>Av. Cônego João Lima, 3223</t>
  </si>
  <si>
    <t>9973223270</t>
  </si>
  <si>
    <t>815116821167</t>
  </si>
  <si>
    <t>Amélia Carneiro Palma</t>
  </si>
  <si>
    <t>Alberto Bernardes Caldas</t>
  </si>
  <si>
    <t>Irene Horta Diniz</t>
  </si>
  <si>
    <t>Av. Presidente Kennedy, 1940</t>
  </si>
  <si>
    <t>1308314772</t>
  </si>
  <si>
    <t>073837136449</t>
  </si>
  <si>
    <t>Elena Muricy Horta</t>
  </si>
  <si>
    <t>Hortencio Freire Diniz</t>
  </si>
  <si>
    <t>Jane Coelho Palma</t>
  </si>
  <si>
    <t>Rua Setembro, 832</t>
  </si>
  <si>
    <t>2534365632</t>
  </si>
  <si>
    <t>341163000645</t>
  </si>
  <si>
    <t>Ariela Gama Coelho</t>
  </si>
  <si>
    <t>Dario Azevedo Palma</t>
  </si>
  <si>
    <t>Arnaldo Lacerda Meneses</t>
  </si>
  <si>
    <t>Av. Piauí, 2689</t>
  </si>
  <si>
    <t>9110707842</t>
  </si>
  <si>
    <t>376053057247</t>
  </si>
  <si>
    <t>Eliane Cantanhede Lacerda</t>
  </si>
  <si>
    <t>Giordano Nascimento Meneses</t>
  </si>
  <si>
    <t>Artur Diniz Pastrocinio</t>
  </si>
  <si>
    <t>Av. Fernandes Lima, 1959</t>
  </si>
  <si>
    <t>6860335941</t>
  </si>
  <si>
    <t>362621797306</t>
  </si>
  <si>
    <t>Geovana Machado Diniz</t>
  </si>
  <si>
    <t>Gisvaldo Assuncao Pastrocinio</t>
  </si>
  <si>
    <t>Ivandro Coelho Cardoso</t>
  </si>
  <si>
    <t>Av. Brasil, 1855</t>
  </si>
  <si>
    <t>2717236507</t>
  </si>
  <si>
    <t>355301353680</t>
  </si>
  <si>
    <t>Barbara Bernardes Coelho</t>
  </si>
  <si>
    <t>Dario Batista Cardoso</t>
  </si>
  <si>
    <t>Evandro Vieira Noval</t>
  </si>
  <si>
    <t>Av. Presidente Vargas, 1532</t>
  </si>
  <si>
    <t>1298340294</t>
  </si>
  <si>
    <t>392260668285</t>
  </si>
  <si>
    <t>Fátima Duarte Vieira</t>
  </si>
  <si>
    <t>Federico Mendonca Noval</t>
  </si>
  <si>
    <t>Aparicio Jardim Feitosa</t>
  </si>
  <si>
    <t>Rua XV de Novembro, 1101</t>
  </si>
  <si>
    <t>8774596679</t>
  </si>
  <si>
    <t>695814033647</t>
  </si>
  <si>
    <t>Maria Fagundes Jardim</t>
  </si>
  <si>
    <t>Adriano Soares Feitosa</t>
  </si>
  <si>
    <t>Catarina Espinosa Aranha</t>
  </si>
  <si>
    <t>Av. Coronel Martiniano, 594</t>
  </si>
  <si>
    <t>0033101181</t>
  </si>
  <si>
    <t>062986847743</t>
  </si>
  <si>
    <t>Ione Malta Espinosa</t>
  </si>
  <si>
    <t>Haroldo Medeiros Aranha</t>
  </si>
  <si>
    <t>Thiago Araujo Rodrigues</t>
  </si>
  <si>
    <t>Av. Caxangá, 779</t>
  </si>
  <si>
    <t>0197926067</t>
  </si>
  <si>
    <t>706193236575</t>
  </si>
  <si>
    <t>Elba Pinto Araujo</t>
  </si>
  <si>
    <t>Galdino Meneses Rodrigues</t>
  </si>
  <si>
    <t>Emerson Igrejas Franco</t>
  </si>
  <si>
    <t>Rua Marechal Deodoro, 3456</t>
  </si>
  <si>
    <t>4422191912</t>
  </si>
  <si>
    <t>368827067719</t>
  </si>
  <si>
    <t>Juliana Jesus Igrejas</t>
  </si>
  <si>
    <t>Benito Pastore Franco</t>
  </si>
  <si>
    <t>Adilson Furquim Mendes</t>
  </si>
  <si>
    <t>Av. Paulo de Frontin, 162</t>
  </si>
  <si>
    <t>1180600728</t>
  </si>
  <si>
    <t>091828071324</t>
  </si>
  <si>
    <t>Cláudia Padilha Furquim</t>
  </si>
  <si>
    <t>Everaldo Costa Mendes</t>
  </si>
  <si>
    <t>Cleide Pinto Madureira</t>
  </si>
  <si>
    <t>Av. Coletora A, 3028</t>
  </si>
  <si>
    <t>7336540064</t>
  </si>
  <si>
    <t>833462534823</t>
  </si>
  <si>
    <t>Ivone Gomes Pinto</t>
  </si>
  <si>
    <t>Camilo Noronha Madureira</t>
  </si>
  <si>
    <t>Deise Monforte Fraga</t>
  </si>
  <si>
    <t>Av. Getúlio Vargas, 1756</t>
  </si>
  <si>
    <t>8972875177</t>
  </si>
  <si>
    <t>657634245044</t>
  </si>
  <si>
    <t>Delia Malta Monforte</t>
  </si>
  <si>
    <t>Felix Dantas Fraga</t>
  </si>
  <si>
    <t>Denilson Dornelles Esteves</t>
  </si>
  <si>
    <t>Av. Piauí, 3210</t>
  </si>
  <si>
    <t>5746816717</t>
  </si>
  <si>
    <t>163086040112</t>
  </si>
  <si>
    <t>Deise Teixeira Dornelles</t>
  </si>
  <si>
    <t>Ilan Carneiro Esteves</t>
  </si>
  <si>
    <t>Gisele Ortega Castello</t>
  </si>
  <si>
    <t>Av. Capitão Silvio, 2467</t>
  </si>
  <si>
    <t>4866406434</t>
  </si>
  <si>
    <t>429693738117</t>
  </si>
  <si>
    <t>Barbara Lima Ortega</t>
  </si>
  <si>
    <t>Aurelio Campos Castello</t>
  </si>
  <si>
    <t>Jason Borges Mello</t>
  </si>
  <si>
    <t>Av. Caxangá, 1113</t>
  </si>
  <si>
    <t>4001848558</t>
  </si>
  <si>
    <t>449976285471</t>
  </si>
  <si>
    <t>Constança Faria Borges</t>
  </si>
  <si>
    <t>Thiago Goulart Mello</t>
  </si>
  <si>
    <t>Jeane Muniz Macedo</t>
  </si>
  <si>
    <t>Av. Amazonas, 19</t>
  </si>
  <si>
    <t>8782010210</t>
  </si>
  <si>
    <t>188449190712</t>
  </si>
  <si>
    <t>Isabel Rocha Muniz</t>
  </si>
  <si>
    <t>Hortencio Passos Macedo</t>
  </si>
  <si>
    <t>Edgar Gonzaga Oliveira</t>
  </si>
  <si>
    <t>Av. Canal, 130</t>
  </si>
  <si>
    <t>2383785597</t>
  </si>
  <si>
    <t>414908677956</t>
  </si>
  <si>
    <t>Isabelle Dantas Gonzaga</t>
  </si>
  <si>
    <t>Leonardo Figueiredo Oliveira</t>
  </si>
  <si>
    <t>Marcelo Fraga Guedes</t>
  </si>
  <si>
    <t>Av. Alfredo Nasser, 3332</t>
  </si>
  <si>
    <t>3333472758</t>
  </si>
  <si>
    <t>212377778216</t>
  </si>
  <si>
    <t>Brunella Lins Fraga</t>
  </si>
  <si>
    <t>Jayme Caldas Guedes</t>
  </si>
  <si>
    <t>Amara Cordeiro Dias</t>
  </si>
  <si>
    <t>Rua Marechal Deodoro, 1739</t>
  </si>
  <si>
    <t>9761440442</t>
  </si>
  <si>
    <t>609072597109</t>
  </si>
  <si>
    <t>Araci Ortega Cordeiro</t>
  </si>
  <si>
    <t>Clovis Ladeira Dias</t>
  </si>
  <si>
    <t>Ariadina Barros Nunes</t>
  </si>
  <si>
    <t>Av. Rui Barbosa, 605</t>
  </si>
  <si>
    <t>1334314370</t>
  </si>
  <si>
    <t>102222189317</t>
  </si>
  <si>
    <t>Vanessa Cavalcante Barros</t>
  </si>
  <si>
    <t>Arthur Firmeza Nunes</t>
  </si>
  <si>
    <t>Andrea Lopes Antunes</t>
  </si>
  <si>
    <t>Rua da Praia, 2582</t>
  </si>
  <si>
    <t>9655158382</t>
  </si>
  <si>
    <t>877671446497</t>
  </si>
  <si>
    <t>Emanuela Alves Lopes</t>
  </si>
  <si>
    <t>Aurelio Machado Antunes</t>
  </si>
  <si>
    <t>David Campos Mata</t>
  </si>
  <si>
    <t>2149377586</t>
  </si>
  <si>
    <t>294464914893</t>
  </si>
  <si>
    <t>Janice Pastore Campos</t>
  </si>
  <si>
    <t>Jarbas Monforte Mata</t>
  </si>
  <si>
    <t>Fabiola Garcez Padilha</t>
  </si>
  <si>
    <t>Largo Dom Fernando Gomes, 686</t>
  </si>
  <si>
    <t>4869636504</t>
  </si>
  <si>
    <t>232743045004</t>
  </si>
  <si>
    <t>Ingrid Henriques Garcez</t>
  </si>
  <si>
    <t>Adalberto Pastrocinio Padilha</t>
  </si>
  <si>
    <t>Leonardo Igrejas Padilha</t>
  </si>
  <si>
    <t>Av. João César de Oliveira, 2661</t>
  </si>
  <si>
    <t>3153374851</t>
  </si>
  <si>
    <t>216416344838</t>
  </si>
  <si>
    <t>Isadora Caldeira Igrejas</t>
  </si>
  <si>
    <t>Bernard Giacomini Padilha</t>
  </si>
  <si>
    <t>Jesse Dias Franco</t>
  </si>
  <si>
    <t>Av. Ana Costa, 3687</t>
  </si>
  <si>
    <t>3356377344</t>
  </si>
  <si>
    <t>923720108148</t>
  </si>
  <si>
    <t>Alessandra Gaspar Dias</t>
  </si>
  <si>
    <t>Caciano Figueira Franco</t>
  </si>
  <si>
    <t>Estela Palma Luz</t>
  </si>
  <si>
    <t>6227632705</t>
  </si>
  <si>
    <t>162839263202</t>
  </si>
  <si>
    <t>Dagmar Guedes Palma</t>
  </si>
  <si>
    <t>João Casanova Luz</t>
  </si>
  <si>
    <t>Fernandinho Coimbra Mangabeira</t>
  </si>
  <si>
    <t>Av. Agamenon Magalhães, 3770</t>
  </si>
  <si>
    <t>8628368701</t>
  </si>
  <si>
    <t>826988948960</t>
  </si>
  <si>
    <t>Barbara Marques Coimbra</t>
  </si>
  <si>
    <t>Carlos Moraes Mangabeira</t>
  </si>
  <si>
    <t>Elena Mendes Mata</t>
  </si>
  <si>
    <t>Av. Parque, 2635</t>
  </si>
  <si>
    <t>7747083146</t>
  </si>
  <si>
    <t>040896098892</t>
  </si>
  <si>
    <t>Jandira Neves Mendes</t>
  </si>
  <si>
    <t>Donizete Branco Mata</t>
  </si>
  <si>
    <t>Hugo Brito Laranjeira</t>
  </si>
  <si>
    <t>Rua Tancredo Neves, 3917</t>
  </si>
  <si>
    <t>7491832063</t>
  </si>
  <si>
    <t>243671360287</t>
  </si>
  <si>
    <t>Izabel Pereira Brito</t>
  </si>
  <si>
    <t>Alberto Camargo Laranjeira</t>
  </si>
  <si>
    <t>Breno Luz Guerra</t>
  </si>
  <si>
    <t>Av. Senhor dos Passos, 1387</t>
  </si>
  <si>
    <t>9172355063</t>
  </si>
  <si>
    <t>516184485498</t>
  </si>
  <si>
    <t>Evelyn Soares Luz</t>
  </si>
  <si>
    <t>Claudio Marcondes Guerra</t>
  </si>
  <si>
    <t>Ariadina Noronha Lagos</t>
  </si>
  <si>
    <t>Av. Governador Leonel Brizola, 2188</t>
  </si>
  <si>
    <t>6004228781</t>
  </si>
  <si>
    <t>922675092772</t>
  </si>
  <si>
    <t>Dalila Maciel Noronha</t>
  </si>
  <si>
    <t>Frederico Dias Lagos</t>
  </si>
  <si>
    <t>Edna Lacerda Pacheco</t>
  </si>
  <si>
    <t>Av. Getúlio Vargas, 1583</t>
  </si>
  <si>
    <t>5344086631</t>
  </si>
  <si>
    <t>094962436598</t>
  </si>
  <si>
    <t>Elisa Martins Lacerda</t>
  </si>
  <si>
    <t>Isaac Moura Pacheco</t>
  </si>
  <si>
    <t>Emília Branco Mendes</t>
  </si>
  <si>
    <t>Av. Loureiro da Silva, 705</t>
  </si>
  <si>
    <t>5704070173</t>
  </si>
  <si>
    <t>873611206534</t>
  </si>
  <si>
    <t>Dafne Nobre Branco</t>
  </si>
  <si>
    <t>Herculano Fontes Mendes</t>
  </si>
  <si>
    <t>Adalberto Brito Cabral</t>
  </si>
  <si>
    <t>Av. Piauí, 2444</t>
  </si>
  <si>
    <t>8719430333</t>
  </si>
  <si>
    <t>633876001048</t>
  </si>
  <si>
    <t>Adriana Casanova Brito</t>
  </si>
  <si>
    <t>Marcelo Godoy Cabral</t>
  </si>
  <si>
    <t>Dóris Delgado Magalhaes</t>
  </si>
  <si>
    <t>Av. Teotônio Segurado, 676</t>
  </si>
  <si>
    <t>0868644070</t>
  </si>
  <si>
    <t>455500298227</t>
  </si>
  <si>
    <t>Fabiana Paes Delgado</t>
  </si>
  <si>
    <t>Gledson Duarte Magalhaes</t>
  </si>
  <si>
    <t>Iracema Oliveira Moita</t>
  </si>
  <si>
    <t>Av. Governador Valadares, 348</t>
  </si>
  <si>
    <t>2280310437</t>
  </si>
  <si>
    <t>768664792490</t>
  </si>
  <si>
    <t>Isabelle Cavalcante Oliveira</t>
  </si>
  <si>
    <t>Apostolo Lucena Moita</t>
  </si>
  <si>
    <t>Eliana Girao Nunes</t>
  </si>
  <si>
    <t>Av. Goiás, 1795</t>
  </si>
  <si>
    <t>1028094164</t>
  </si>
  <si>
    <t>565304744035</t>
  </si>
  <si>
    <t>Isabelle Pereira Girao</t>
  </si>
  <si>
    <t>Felipe Mendonca Nunes</t>
  </si>
  <si>
    <t>Jacira Gimenez Barros</t>
  </si>
  <si>
    <t>Av. Brasil, 3404</t>
  </si>
  <si>
    <t>4290674401</t>
  </si>
  <si>
    <t>059860149484</t>
  </si>
  <si>
    <t>Dione Cunha Gimenez</t>
  </si>
  <si>
    <t>Benicio Pacheco Barros</t>
  </si>
  <si>
    <t>Alana Carvalho Coimbra</t>
  </si>
  <si>
    <t>Av. Ceará, 91</t>
  </si>
  <si>
    <t>1604148795</t>
  </si>
  <si>
    <t>343906236498</t>
  </si>
  <si>
    <t>Cássia Mata Carvalho</t>
  </si>
  <si>
    <t>Clovis Delgado Coimbra</t>
  </si>
  <si>
    <t>Fabiola Almeida Horta</t>
  </si>
  <si>
    <t>Av. Alberto Maranhão, 2899</t>
  </si>
  <si>
    <t>1236878072</t>
  </si>
  <si>
    <t>407572355721</t>
  </si>
  <si>
    <t>Ivone Palhares Almeida</t>
  </si>
  <si>
    <t>Jayme Maciel Horta</t>
  </si>
  <si>
    <t>Djalmir Antunes Lima</t>
  </si>
  <si>
    <t>Av. Campo Grande, 1193</t>
  </si>
  <si>
    <t>9450340928</t>
  </si>
  <si>
    <t>543338984104</t>
  </si>
  <si>
    <t>Adriana Freitas Antunes</t>
  </si>
  <si>
    <t>Rafael Garrido Lima</t>
  </si>
  <si>
    <t>Ester Dornelles Macedo</t>
  </si>
  <si>
    <t>Av. Coletora A, 3267</t>
  </si>
  <si>
    <t>8259266341</t>
  </si>
  <si>
    <t>025747840543</t>
  </si>
  <si>
    <t>Elisabete Jesus Dornelles</t>
  </si>
  <si>
    <t>Jeferson Santos Macedo</t>
  </si>
  <si>
    <t>Emanuela Camacho Naves</t>
  </si>
  <si>
    <t>3374851527</t>
  </si>
  <si>
    <t>356546669547</t>
  </si>
  <si>
    <t>Celina Dias Camacho</t>
  </si>
  <si>
    <t>Mateus Pacheco Naves</t>
  </si>
  <si>
    <t>Fernando Noval Lourenco</t>
  </si>
  <si>
    <t>Rua Tancredo Neves, 850</t>
  </si>
  <si>
    <t>1872131695</t>
  </si>
  <si>
    <t>238333153316</t>
  </si>
  <si>
    <t>Sandra Lima Noval</t>
  </si>
  <si>
    <t>Jandir Magalhaes Lourenco</t>
  </si>
  <si>
    <t>Eliane Lima Matos</t>
  </si>
  <si>
    <t>Via W3 Sul, 485</t>
  </si>
  <si>
    <t>6989667501</t>
  </si>
  <si>
    <t>554755868189</t>
  </si>
  <si>
    <t>Filomena Ortiz Lima</t>
  </si>
  <si>
    <t>Dante Lins Matos</t>
  </si>
  <si>
    <t>Francine Camargo Jardim</t>
  </si>
  <si>
    <t>Av. Presidente Vargas, 1690</t>
  </si>
  <si>
    <t>3024254102</t>
  </si>
  <si>
    <t>834058918441</t>
  </si>
  <si>
    <t>Elena Campos Camargo</t>
  </si>
  <si>
    <t>Ique Meireles Jardim</t>
  </si>
  <si>
    <t>Cristiano Silva Padilha</t>
  </si>
  <si>
    <t>Rua Moreira César, 649</t>
  </si>
  <si>
    <t>1578685189</t>
  </si>
  <si>
    <t>678116529350</t>
  </si>
  <si>
    <t>Janice Santos Silva</t>
  </si>
  <si>
    <t>Marcos Andrade Padilha</t>
  </si>
  <si>
    <t>Carina Henriques Brito</t>
  </si>
  <si>
    <t>Av. Dr. Yvens Cordeiro, 2269</t>
  </si>
  <si>
    <t>8544042113</t>
  </si>
  <si>
    <t>468590295938</t>
  </si>
  <si>
    <t>Carolina Pereira Henriques</t>
  </si>
  <si>
    <t>Italo Geraldo Brito</t>
  </si>
  <si>
    <t>Janice Igrejas Guedes</t>
  </si>
  <si>
    <t>Rua dos Tupinambás, 2900</t>
  </si>
  <si>
    <t>4214938832</t>
  </si>
  <si>
    <t>622643727266</t>
  </si>
  <si>
    <t>Isaura Mascarenhas Igrejas</t>
  </si>
  <si>
    <t>Ilan Moura Guedes</t>
  </si>
  <si>
    <t>Federico Franco Teixeira</t>
  </si>
  <si>
    <t>Rua da Praia, 1613</t>
  </si>
  <si>
    <t>0980716060</t>
  </si>
  <si>
    <t>474751142052</t>
  </si>
  <si>
    <t>Evelin Bueno Franco</t>
  </si>
  <si>
    <t>Rodrigo Barros Teixeira</t>
  </si>
  <si>
    <t>Douglas Miranda Santos</t>
  </si>
  <si>
    <t>Av. Gov. José Malcher, 1165</t>
  </si>
  <si>
    <t>4239219288</t>
  </si>
  <si>
    <t>189938075488</t>
  </si>
  <si>
    <t>Bruna Dantas Miranda</t>
  </si>
  <si>
    <t>Diego Gusmao Santos</t>
  </si>
  <si>
    <t>Isadora Domingues Lago</t>
  </si>
  <si>
    <t>3401499184</t>
  </si>
  <si>
    <t>549400270920</t>
  </si>
  <si>
    <t>Elisângela Filgueiras Domingues</t>
  </si>
  <si>
    <t>Bruno Furquim Lago</t>
  </si>
  <si>
    <t>Ariadina Lemos Aguiar</t>
  </si>
  <si>
    <t>Av. Dr. Adhemar de Barros, 1428</t>
  </si>
  <si>
    <t>6721220773</t>
  </si>
  <si>
    <t>340121986669</t>
  </si>
  <si>
    <t>Anelise Mello Lemos</t>
  </si>
  <si>
    <t>Angelo Fagundes Aguiar</t>
  </si>
  <si>
    <t>Cristina Marques Guedes</t>
  </si>
  <si>
    <t>Via W3 Sul, 2065</t>
  </si>
  <si>
    <t>1443089079</t>
  </si>
  <si>
    <t>730823549245</t>
  </si>
  <si>
    <t>Graciela Monteiro Marques</t>
  </si>
  <si>
    <t>Fabio Camargo Guedes</t>
  </si>
  <si>
    <t>Jeane Lozano Gaspar</t>
  </si>
  <si>
    <t>Av. Central, 380</t>
  </si>
  <si>
    <t>4595208129</t>
  </si>
  <si>
    <t>932621443759</t>
  </si>
  <si>
    <t>Analu Borges Lozano</t>
  </si>
  <si>
    <t>Ilan Gimenez Gaspar</t>
  </si>
  <si>
    <t>Rodrigo Faria Farias</t>
  </si>
  <si>
    <t>Av. Bucar Neto, 3378</t>
  </si>
  <si>
    <t>0907261516</t>
  </si>
  <si>
    <t>526258947745</t>
  </si>
  <si>
    <t>Isabelle Gouveia Faria</t>
  </si>
  <si>
    <t>Glauco Avila Farias</t>
  </si>
  <si>
    <t>Gaspar Branco Ortega</t>
  </si>
  <si>
    <t>Av. Dorival Cândido Luz de Oliveira, 86</t>
  </si>
  <si>
    <t>3737952484</t>
  </si>
  <si>
    <t>499500580320</t>
  </si>
  <si>
    <t>Fabiana Ornellas Branco</t>
  </si>
  <si>
    <t>Aldo Cardoso Ortega</t>
  </si>
  <si>
    <t>Marcelo Ferreira Gaspar</t>
  </si>
  <si>
    <t>Av. FEB, 2805</t>
  </si>
  <si>
    <t>0060886590</t>
  </si>
  <si>
    <t>198505442622</t>
  </si>
  <si>
    <t>Aida Casanova Ferreira</t>
  </si>
  <si>
    <t>Galdino Marcondes Gaspar</t>
  </si>
  <si>
    <t>Biel Gusmao Ladeira</t>
  </si>
  <si>
    <t>Av. Jerônimo Gonçalves, 3403</t>
  </si>
  <si>
    <t>0412137327</t>
  </si>
  <si>
    <t>414794863401</t>
  </si>
  <si>
    <t>Aparecida Maciel Gusmao</t>
  </si>
  <si>
    <t>Caciano Godoy Ladeira</t>
  </si>
  <si>
    <t>Erica Aguiar Firmeza</t>
  </si>
  <si>
    <t>Av. Atlântica, 3436</t>
  </si>
  <si>
    <t>1689921197</t>
  </si>
  <si>
    <t>389167281853</t>
  </si>
  <si>
    <t>Bruna Novaes Aguiar</t>
  </si>
  <si>
    <t>Everaldo Pinto Firmeza</t>
  </si>
  <si>
    <t>Clodoaldo Baptista Fagundes</t>
  </si>
  <si>
    <t>Av. Brigadeiro Everaldo Breves, 2498</t>
  </si>
  <si>
    <t>6976856336</t>
  </si>
  <si>
    <t>931043421441</t>
  </si>
  <si>
    <t>Ivonete Noval Baptista</t>
  </si>
  <si>
    <t>Adalberto Guimaraes Fagundes</t>
  </si>
  <si>
    <t>Arlene Camacho Andrade</t>
  </si>
  <si>
    <t>Av. Campo Grande, 2510</t>
  </si>
  <si>
    <t>4446449340</t>
  </si>
  <si>
    <t>016048732815</t>
  </si>
  <si>
    <t>Dirce Coelho Camacho</t>
  </si>
  <si>
    <t>Iuri Moura Andrade</t>
  </si>
  <si>
    <t>Biel Machado Padilha</t>
  </si>
  <si>
    <t>Av. Ville Roy, 2528</t>
  </si>
  <si>
    <t>1371589434</t>
  </si>
  <si>
    <t>214791966778</t>
  </si>
  <si>
    <t>Sofia Costa Machado</t>
  </si>
  <si>
    <t>Igor Diniz Padilha</t>
  </si>
  <si>
    <t>Fausta Lacerda Lopes</t>
  </si>
  <si>
    <t>Av. Alberto Maranhão, 982</t>
  </si>
  <si>
    <t>4853621409</t>
  </si>
  <si>
    <t>130767027603</t>
  </si>
  <si>
    <t>Doralice Gaspar Lacerda</t>
  </si>
  <si>
    <t>Ilan Monteiro Lopes</t>
  </si>
  <si>
    <t>Eva Dantas Gomes</t>
  </si>
  <si>
    <t>Rua XV de Novembro, 2007</t>
  </si>
  <si>
    <t>1638769265</t>
  </si>
  <si>
    <t>025674395315</t>
  </si>
  <si>
    <t>Dinorá Figueiredo Dantas</t>
  </si>
  <si>
    <t>Hermes Caceres Gomes</t>
  </si>
  <si>
    <t>Dalva Moraes Braga</t>
  </si>
  <si>
    <t>Rua Setembro, 3167</t>
  </si>
  <si>
    <t>8489755421</t>
  </si>
  <si>
    <t>703163921746</t>
  </si>
  <si>
    <t>Glauce Moura Moraes</t>
  </si>
  <si>
    <t>Haroldo Domingues Braga</t>
  </si>
  <si>
    <t>Carolina Jesus Fraga</t>
  </si>
  <si>
    <t>Av. Jorge Amado, 2140</t>
  </si>
  <si>
    <t>7874717739</t>
  </si>
  <si>
    <t>508244046918</t>
  </si>
  <si>
    <t>Elza Junqueira Jesus</t>
  </si>
  <si>
    <t>Gilmar Silva Fraga</t>
  </si>
  <si>
    <t>Dirce Avila Castro</t>
  </si>
  <si>
    <t>Av. Cônego João Lima, 2714</t>
  </si>
  <si>
    <t>8849677771</t>
  </si>
  <si>
    <t>852616261298</t>
  </si>
  <si>
    <t>Diana Freitas Avila</t>
  </si>
  <si>
    <t>Anselmo Meneses Castro</t>
  </si>
  <si>
    <t>Fabiola Giacomini Domingues</t>
  </si>
  <si>
    <t>Av. Presidente Vargas, 322</t>
  </si>
  <si>
    <t>5325770925</t>
  </si>
  <si>
    <t>400794404103</t>
  </si>
  <si>
    <t>Filomena Brito Giacomini</t>
  </si>
  <si>
    <t>Clodoaldo Costa Domingues</t>
  </si>
  <si>
    <t>Evelin Geraldo Casanova</t>
  </si>
  <si>
    <t>Rua dos Tupinambás, 3740</t>
  </si>
  <si>
    <t>3523087610</t>
  </si>
  <si>
    <t>899613073052</t>
  </si>
  <si>
    <t>Dalila Matos Geraldo</t>
  </si>
  <si>
    <t>Ilan Marinho Casanova</t>
  </si>
  <si>
    <t>Érika Carvalho Castello</t>
  </si>
  <si>
    <t>Av. Dom José, 2341</t>
  </si>
  <si>
    <t>3527905961</t>
  </si>
  <si>
    <t>083620696967</t>
  </si>
  <si>
    <t>Irene Gimenez Carvalho</t>
  </si>
  <si>
    <t>Flavio Soares Castello</t>
  </si>
  <si>
    <t>Israel Horta Fernandes</t>
  </si>
  <si>
    <t>Av. Getúlio Vargas, 1141</t>
  </si>
  <si>
    <t>8998551818</t>
  </si>
  <si>
    <t>385852712699</t>
  </si>
  <si>
    <t>Ingrid Casagrande Horta</t>
  </si>
  <si>
    <t>Aldo Paixao Fernandes</t>
  </si>
  <si>
    <t>Isaias Camargo Dias</t>
  </si>
  <si>
    <t>Av. Dr. Adhemar de Barros, 357</t>
  </si>
  <si>
    <t>3609889794</t>
  </si>
  <si>
    <t>908652658411</t>
  </si>
  <si>
    <t>Isabelle Paschoal Camargo</t>
  </si>
  <si>
    <t>Helder Muricy Dias</t>
  </si>
  <si>
    <t>Alan Araujo Morais</t>
  </si>
  <si>
    <t>Av. Sete de Setembro, 2105</t>
  </si>
  <si>
    <t>7405071914</t>
  </si>
  <si>
    <t>124907932777</t>
  </si>
  <si>
    <t>Graciela Silva Araujo</t>
  </si>
  <si>
    <t>Davi Mata Morais</t>
  </si>
  <si>
    <t>Dora Firmeza Machado</t>
  </si>
  <si>
    <t>Av. Guararapes, 2715</t>
  </si>
  <si>
    <t>6512196139</t>
  </si>
  <si>
    <t>348180845014</t>
  </si>
  <si>
    <t>Arlene Gaspar Firmeza</t>
  </si>
  <si>
    <t>Jacinto Melo Machado</t>
  </si>
  <si>
    <t>Graça Antunes Chaves</t>
  </si>
  <si>
    <t>Av. Presidente Vargas, 3130</t>
  </si>
  <si>
    <t>5135164380</t>
  </si>
  <si>
    <t>266856048667</t>
  </si>
  <si>
    <t>Brenda Palma Antunes</t>
  </si>
  <si>
    <t>Isaias Barros Chaves</t>
  </si>
  <si>
    <t>Clovis Firmeza Dantas</t>
  </si>
  <si>
    <t>Av. Jerônimo Gonçalves, 2914</t>
  </si>
  <si>
    <t>5836073952</t>
  </si>
  <si>
    <t>121461755539</t>
  </si>
  <si>
    <t>Guiomar Neto Firmeza</t>
  </si>
  <si>
    <t>Jairo Souza Dantas</t>
  </si>
  <si>
    <t>Danilo Freitas Campos</t>
  </si>
  <si>
    <t>Av. Dom José, 3242</t>
  </si>
  <si>
    <t>7234909385</t>
  </si>
  <si>
    <t>862607184491</t>
  </si>
  <si>
    <t>Angelina Palma Freitas</t>
  </si>
  <si>
    <t>Benjamin Novaes Campos</t>
  </si>
  <si>
    <t>Iomar Lourenco Figueiredo</t>
  </si>
  <si>
    <t>Av. Constantino Nery, 3328</t>
  </si>
  <si>
    <t>0645681183</t>
  </si>
  <si>
    <t>214140350767</t>
  </si>
  <si>
    <t>Amélia Maldonado Lourenco</t>
  </si>
  <si>
    <t>Mateus Paranhos Figueiredo</t>
  </si>
  <si>
    <t>Clara Moita Batista</t>
  </si>
  <si>
    <t>Av. Atlântica, 1539</t>
  </si>
  <si>
    <t>0766262646</t>
  </si>
  <si>
    <t>348936522212</t>
  </si>
  <si>
    <t>Aline Domingues Moita</t>
  </si>
  <si>
    <t>Jeferson Vieira Batista</t>
  </si>
  <si>
    <t>Everton Castello Frota</t>
  </si>
  <si>
    <t>Av. Presidente Vargas, 2746</t>
  </si>
  <si>
    <t>7317149993</t>
  </si>
  <si>
    <t>999811418327</t>
  </si>
  <si>
    <t>Conceição Vieira Castello</t>
  </si>
  <si>
    <t>Francisco Faria Frota</t>
  </si>
  <si>
    <t>Dalmo Guerra Bello</t>
  </si>
  <si>
    <t>Av. Amazonas, 1900</t>
  </si>
  <si>
    <t>1626053647</t>
  </si>
  <si>
    <t>428141930478</t>
  </si>
  <si>
    <t>Damaris Meireles Guerra</t>
  </si>
  <si>
    <t>Alan Ornellas Bello</t>
  </si>
  <si>
    <t>Geraldo Marques Chaves</t>
  </si>
  <si>
    <t>Rodovia BR-316, 663</t>
  </si>
  <si>
    <t>4608697686</t>
  </si>
  <si>
    <t>140934523066</t>
  </si>
  <si>
    <t>Bianca Moraes Marques</t>
  </si>
  <si>
    <t>Aldo Caldas Chaves</t>
  </si>
  <si>
    <t>Galdino Branco Lins</t>
  </si>
  <si>
    <t>Av. Vicente Machado, 1501</t>
  </si>
  <si>
    <t>8908170442</t>
  </si>
  <si>
    <t>973731911268</t>
  </si>
  <si>
    <t>Aurelia Miranda Branco</t>
  </si>
  <si>
    <t>Erasmo Duarte Lins</t>
  </si>
  <si>
    <t>Constança Cintra Leite</t>
  </si>
  <si>
    <t>Av. Bernardo Vieira de Melo, 1001</t>
  </si>
  <si>
    <t>7273243510</t>
  </si>
  <si>
    <t>747004443469</t>
  </si>
  <si>
    <t>Aida Morais Cintra</t>
  </si>
  <si>
    <t>Eliseu Costa Leite</t>
  </si>
  <si>
    <t>Augusto Godoy Horta</t>
  </si>
  <si>
    <t>Av. Parque, 3910</t>
  </si>
  <si>
    <t>2526670539</t>
  </si>
  <si>
    <t>466485838342</t>
  </si>
  <si>
    <t>Barbara Marinho Godoy</t>
  </si>
  <si>
    <t>Ivanilson Caldeira Horta</t>
  </si>
  <si>
    <t>Iomar Pinto Macedo</t>
  </si>
  <si>
    <t>Largo Dom Fernando Gomes, 2580</t>
  </si>
  <si>
    <t>5647105460</t>
  </si>
  <si>
    <t>773410258525</t>
  </si>
  <si>
    <t>Irene Ladeira Pinto</t>
  </si>
  <si>
    <t>Alejandro Fagundes Macedo</t>
  </si>
  <si>
    <t>Edson Goulart Lopes</t>
  </si>
  <si>
    <t>Av. Copacabana, 3086</t>
  </si>
  <si>
    <t>6278675137</t>
  </si>
  <si>
    <t>306049286511</t>
  </si>
  <si>
    <t>Gabriela Branco Goulart</t>
  </si>
  <si>
    <t>Frederico Dornelles Lopes</t>
  </si>
  <si>
    <t>Francisca Lourdes Camargo</t>
  </si>
  <si>
    <t>Av. Alberto Maranhão, 1222</t>
  </si>
  <si>
    <t>2310055244</t>
  </si>
  <si>
    <t>730076872607</t>
  </si>
  <si>
    <t>Heloisa Garcez Lourdes</t>
  </si>
  <si>
    <t>Bento Freitas Camargo</t>
  </si>
  <si>
    <t>Danubia Feitosa Inacio</t>
  </si>
  <si>
    <t>Av. Ceará, 2894</t>
  </si>
  <si>
    <t>3994596105</t>
  </si>
  <si>
    <t>517405255239</t>
  </si>
  <si>
    <t>Alice Dias Feitosa</t>
  </si>
  <si>
    <t>Donizete Henriques Inacio</t>
  </si>
  <si>
    <t>Elisângela Nobre Garcez</t>
  </si>
  <si>
    <t>Rua XV de Novembro, 2894</t>
  </si>
  <si>
    <t>5949914867</t>
  </si>
  <si>
    <t>935869494751</t>
  </si>
  <si>
    <t>Ariane Carrasco Nobre</t>
  </si>
  <si>
    <t>Alexandre Casanova Garcez</t>
  </si>
  <si>
    <t>Elisa Assuncao Macedo</t>
  </si>
  <si>
    <t>Av. Alberto Torres, 942</t>
  </si>
  <si>
    <t>6965008205</t>
  </si>
  <si>
    <t>971076660416</t>
  </si>
  <si>
    <t>Chantal Gomes Assuncao</t>
  </si>
  <si>
    <t>Emerson Duarte Macedo</t>
  </si>
  <si>
    <t>Arlene Muniz Azevedo</t>
  </si>
  <si>
    <t>Av. Antônio Trajano, 3117</t>
  </si>
  <si>
    <t>3263470776</t>
  </si>
  <si>
    <t>243282154378</t>
  </si>
  <si>
    <t>Eloá Gomes Muniz</t>
  </si>
  <si>
    <t>Caciano Caldeira Azevedo</t>
  </si>
  <si>
    <t>Cleusa Assis Barreto</t>
  </si>
  <si>
    <t>Av. Antônio Trajano, 2899</t>
  </si>
  <si>
    <t>2083012290</t>
  </si>
  <si>
    <t>740024173972</t>
  </si>
  <si>
    <t>Augusta Macedo Assis</t>
  </si>
  <si>
    <t>Caio Jordao Barreto</t>
  </si>
  <si>
    <t>Jason Bernardes Cavalcante</t>
  </si>
  <si>
    <t>Av. Fernando Afonso Collor de Mello, 2194</t>
  </si>
  <si>
    <t>1424963992</t>
  </si>
  <si>
    <t>376786925567</t>
  </si>
  <si>
    <t>Danubia Galvao Bernardes</t>
  </si>
  <si>
    <t>Caciano Molina Cavalcante</t>
  </si>
  <si>
    <t>Flávia Ferreira Jordao</t>
  </si>
  <si>
    <t>Av. Ana Costa, 2569</t>
  </si>
  <si>
    <t>2679027066</t>
  </si>
  <si>
    <t>614805927603</t>
  </si>
  <si>
    <t>Patrícia Madureira Ferreira</t>
  </si>
  <si>
    <t>Claudio Naves Jordao</t>
  </si>
  <si>
    <t>Derick Castello Barros</t>
  </si>
  <si>
    <t>Av. Getúlio Vargas, 1477</t>
  </si>
  <si>
    <t>5370078992</t>
  </si>
  <si>
    <t>874051432980</t>
  </si>
  <si>
    <t>Ariela Cavalcante Castello</t>
  </si>
  <si>
    <t>Denilson Ornellas Barros</t>
  </si>
  <si>
    <t>Alexia Mesquita Palma</t>
  </si>
  <si>
    <t>Av. Cônego João Lima, 2451</t>
  </si>
  <si>
    <t>7916057070</t>
  </si>
  <si>
    <t>004397094328</t>
  </si>
  <si>
    <t>Gertrudes Furquim Mesquita</t>
  </si>
  <si>
    <t>Felix Lagos Palma</t>
  </si>
  <si>
    <t>Elton Ortiz Carvalho</t>
  </si>
  <si>
    <t>Av. Historiador Rubens de Mendonça, 343</t>
  </si>
  <si>
    <t>9667383720</t>
  </si>
  <si>
    <t>331032716359</t>
  </si>
  <si>
    <t>Almerinda Moreira Ortiz</t>
  </si>
  <si>
    <t>Antonio Monforte Carvalho</t>
  </si>
  <si>
    <t>Delfina Teixeira Santos</t>
  </si>
  <si>
    <t>Av. Getúlio Vargas, 2856</t>
  </si>
  <si>
    <t>8066866793</t>
  </si>
  <si>
    <t>574033745219</t>
  </si>
  <si>
    <t>Alicia Filgueiras Teixeira</t>
  </si>
  <si>
    <t>Inacio Molina Santos</t>
  </si>
  <si>
    <t>Damaris Paschoal Mangabeira</t>
  </si>
  <si>
    <t>Av. Epitácio Pessoa, 1787</t>
  </si>
  <si>
    <t>9253471347</t>
  </si>
  <si>
    <t>710359236759</t>
  </si>
  <si>
    <t>Íris Giacomini Paschoal</t>
  </si>
  <si>
    <t>Henrique Almeida Mangabeira</t>
  </si>
  <si>
    <t>Eliezer Fernandes Faria</t>
  </si>
  <si>
    <t>Av. Bucar Neto, 3564</t>
  </si>
  <si>
    <t>6102118385</t>
  </si>
  <si>
    <t>384305129770</t>
  </si>
  <si>
    <t>Angelina Mata Fernandes</t>
  </si>
  <si>
    <t>Gisvaldo Moraes Faria</t>
  </si>
  <si>
    <t>Elias Fonseca Marinho</t>
  </si>
  <si>
    <t>Rua Marechal Deodoro, 628</t>
  </si>
  <si>
    <t>9629965497</t>
  </si>
  <si>
    <t>803677535634</t>
  </si>
  <si>
    <t>Catarina Carneiro Fonseca</t>
  </si>
  <si>
    <t>Gaspar Gouveia Marinho</t>
  </si>
  <si>
    <t>Edilson Domingues Meneses</t>
  </si>
  <si>
    <t>Rua Moreira César, 43</t>
  </si>
  <si>
    <t>9042863519</t>
  </si>
  <si>
    <t>810754015864</t>
  </si>
  <si>
    <t>Letícia Meireles Domingues</t>
  </si>
  <si>
    <t>Alberto Campos Meneses</t>
  </si>
  <si>
    <t>Almir Freitas Macedo</t>
  </si>
  <si>
    <t>Av. Brigadeiro Everaldo Breves, 3043</t>
  </si>
  <si>
    <t>6911299503</t>
  </si>
  <si>
    <t>714224166997</t>
  </si>
  <si>
    <t>Cristina Carneiro Freitas</t>
  </si>
  <si>
    <t>Januario Faria Macedo</t>
  </si>
  <si>
    <t>Fernanda Rocha Coelho</t>
  </si>
  <si>
    <t>Av. Paulo de Frontin, 67</t>
  </si>
  <si>
    <t>9528686014</t>
  </si>
  <si>
    <t>485279450030</t>
  </si>
  <si>
    <t>Emily Bittencourt Rocha</t>
  </si>
  <si>
    <t>Aurelio Duarte Coelho</t>
  </si>
  <si>
    <t>Ceres Coimbra Araujo</t>
  </si>
  <si>
    <t>Av. Dante Michelini, 3865</t>
  </si>
  <si>
    <t>2241518926</t>
  </si>
  <si>
    <t>581379025298</t>
  </si>
  <si>
    <t>Dulce Coelho Coimbra</t>
  </si>
  <si>
    <t>Cassiano Fagundes Araujo</t>
  </si>
  <si>
    <t>Daniel Paiva Gusmao</t>
  </si>
  <si>
    <t>Av. Guilherme Schell, 2622</t>
  </si>
  <si>
    <t>6374276652</t>
  </si>
  <si>
    <t>677809043526</t>
  </si>
  <si>
    <t>Filomena Nascimento Paiva</t>
  </si>
  <si>
    <t>Isaias Cunha Gusmao</t>
  </si>
  <si>
    <t>Cecília Casagrande Lemos</t>
  </si>
  <si>
    <t>Av. Dorival Cândido Luz de Oliveira, 1623</t>
  </si>
  <si>
    <t>6303178366</t>
  </si>
  <si>
    <t>896220286917</t>
  </si>
  <si>
    <t>Fátima Inacio Casagrande</t>
  </si>
  <si>
    <t>Fernandinho Pastrocinio Lemos</t>
  </si>
  <si>
    <t>Gaston Henriques Fernandes</t>
  </si>
  <si>
    <t>Av. Ville Roy, 2580</t>
  </si>
  <si>
    <t>3496686959</t>
  </si>
  <si>
    <t>332057841855</t>
  </si>
  <si>
    <t>Heloisa Machado Henriques</t>
  </si>
  <si>
    <t>Gledson Bittencourt Fernandes</t>
  </si>
  <si>
    <t>Fabricio Ladeira Martins</t>
  </si>
  <si>
    <t>Av. Alberto Torres, 1568</t>
  </si>
  <si>
    <t>8051912167</t>
  </si>
  <si>
    <t>903198458963</t>
  </si>
  <si>
    <t>Elisabete Ortega Ladeira</t>
  </si>
  <si>
    <t>David Marques Martins</t>
  </si>
  <si>
    <t>Herculano Geraldo Bittencourt</t>
  </si>
  <si>
    <t>Av. Canal, 3878</t>
  </si>
  <si>
    <t>1652626751</t>
  </si>
  <si>
    <t>539993546506</t>
  </si>
  <si>
    <t>Glaucia Coimbra Geraldo</t>
  </si>
  <si>
    <t>Guilherme Braga Bittencourt</t>
  </si>
  <si>
    <t>Ingrid Cardoso Pinto</t>
  </si>
  <si>
    <t>Av. Jerônimo Monteiro, 1755</t>
  </si>
  <si>
    <t>8731322997</t>
  </si>
  <si>
    <t>358511588440</t>
  </si>
  <si>
    <t>Dalila Nobrega Cardoso</t>
  </si>
  <si>
    <t>Jairo Nogueira Pinto</t>
  </si>
  <si>
    <t>Francisco Furquim Oliveira</t>
  </si>
  <si>
    <t>Av. Getúlio Vargas, 147</t>
  </si>
  <si>
    <t>6795975383</t>
  </si>
  <si>
    <t>801453189952</t>
  </si>
  <si>
    <t>Eveline Fontes Furquim</t>
  </si>
  <si>
    <t>Gledson Nunes Oliveira</t>
  </si>
  <si>
    <t>Carina Ortega Muricy</t>
  </si>
  <si>
    <t>Av. Amazonas, 688</t>
  </si>
  <si>
    <t>8925372761</t>
  </si>
  <si>
    <t>909480901292</t>
  </si>
  <si>
    <t>Ariane Pastrocinio Ortega</t>
  </si>
  <si>
    <t>Ildo Garcez Muricy</t>
  </si>
  <si>
    <t>Francine Carneiro Jordao</t>
  </si>
  <si>
    <t>Av. Francisco Glicério, 525</t>
  </si>
  <si>
    <t>9345627899</t>
  </si>
  <si>
    <t>292712171307</t>
  </si>
  <si>
    <t>Inês Jardim Carneiro</t>
  </si>
  <si>
    <t>Helder Almeida Jordao</t>
  </si>
  <si>
    <t>Damaris Cardoso Meneses</t>
  </si>
  <si>
    <t>Av. São Sebastião, 1559</t>
  </si>
  <si>
    <t>6890306987</t>
  </si>
  <si>
    <t>271365439443</t>
  </si>
  <si>
    <t>Erica Casagrande Cardoso</t>
  </si>
  <si>
    <t>Cassiano Padilha Meneses</t>
  </si>
  <si>
    <t>Dante Girao Camacho</t>
  </si>
  <si>
    <t>Rua XV de Novembro, 731</t>
  </si>
  <si>
    <t>2089164494</t>
  </si>
  <si>
    <t>571105741151</t>
  </si>
  <si>
    <t>Inês Goulart Girao</t>
  </si>
  <si>
    <t>Beto Teixeira Camacho</t>
  </si>
  <si>
    <t>Gilson Novaes Andrade</t>
  </si>
  <si>
    <t>Av. Antônio Trajano, 2617</t>
  </si>
  <si>
    <t>4896232680</t>
  </si>
  <si>
    <t>090105803273</t>
  </si>
  <si>
    <t>Ceres Figueiredo Novaes</t>
  </si>
  <si>
    <t>Ivanilson Campos Andrade</t>
  </si>
  <si>
    <t>Federico Mata Frota</t>
  </si>
  <si>
    <t>Av. Bucar Neto, 3436</t>
  </si>
  <si>
    <t>0160736673</t>
  </si>
  <si>
    <t>260466530420</t>
  </si>
  <si>
    <t>Fernanda Rodrigues Mata</t>
  </si>
  <si>
    <t>Claudio Fernandes Frota</t>
  </si>
  <si>
    <t>Íris Filgueiras Barros</t>
  </si>
  <si>
    <t>Av. Barão do Rio Branco, 3472</t>
  </si>
  <si>
    <t>2217991527</t>
  </si>
  <si>
    <t>641972254103</t>
  </si>
  <si>
    <t>Eliana Noval Filgueiras</t>
  </si>
  <si>
    <t>Heitor Borges Barros</t>
  </si>
  <si>
    <t>Astrid Dornelles Marques</t>
  </si>
  <si>
    <t>Av. Nove de Julho, 2896</t>
  </si>
  <si>
    <t>9507762904</t>
  </si>
  <si>
    <t>057799743205</t>
  </si>
  <si>
    <t>Angelica Moraes Dornelles</t>
  </si>
  <si>
    <t>Cristovao Bueno Marques</t>
  </si>
  <si>
    <t>Gilson Bernardes Matos</t>
  </si>
  <si>
    <t>Av. Getúlio Vargas, 2825</t>
  </si>
  <si>
    <t>4282647428</t>
  </si>
  <si>
    <t>387117153699</t>
  </si>
  <si>
    <t>Ivone Pacheco Bernardes</t>
  </si>
  <si>
    <t>Dagoberto Magalhaes Matos</t>
  </si>
  <si>
    <t>Cristina Cabral Mendes</t>
  </si>
  <si>
    <t>Av. VP-8, 1995</t>
  </si>
  <si>
    <t>4509071484</t>
  </si>
  <si>
    <t>868228235523</t>
  </si>
  <si>
    <t>Agatha Feitosa Cabral</t>
  </si>
  <si>
    <t>Biel Belmonte Mendes</t>
  </si>
  <si>
    <t>Erico Costa Monforte</t>
  </si>
  <si>
    <t>Rodovia BR-316, 802</t>
  </si>
  <si>
    <t>5515109527</t>
  </si>
  <si>
    <t>940983386793</t>
  </si>
  <si>
    <t>Cecília Assis Costa</t>
  </si>
  <si>
    <t>Lucas Esteves Monforte</t>
  </si>
  <si>
    <t>Janete Carrasco Andrade</t>
  </si>
  <si>
    <t>Av. Brasil, 1716</t>
  </si>
  <si>
    <t>5634441104</t>
  </si>
  <si>
    <t>211079986222</t>
  </si>
  <si>
    <t>Graça Nobrega Carrasco</t>
  </si>
  <si>
    <t>Jayme Lemos Andrade</t>
  </si>
  <si>
    <t>Gisele Coimbra Araujo</t>
  </si>
  <si>
    <t>Av. Amazonas, 1195</t>
  </si>
  <si>
    <t>6493662503</t>
  </si>
  <si>
    <t>897940996076</t>
  </si>
  <si>
    <t>Dóris Magalhaes Coimbra</t>
  </si>
  <si>
    <t>Helio Godoy Araujo</t>
  </si>
  <si>
    <t>Marcos Lins Costa</t>
  </si>
  <si>
    <t>Av. Gov. José Malcher, 2285</t>
  </si>
  <si>
    <t>0040850945</t>
  </si>
  <si>
    <t>376561806886</t>
  </si>
  <si>
    <t>Gertrudes Nascimento Lins</t>
  </si>
  <si>
    <t>Jayme Meneses Costa</t>
  </si>
  <si>
    <t>Claudio Paranhos Aranha</t>
  </si>
  <si>
    <t>9798012456</t>
  </si>
  <si>
    <t>031043415604</t>
  </si>
  <si>
    <t>Astrid Mangabeira Paranhos</t>
  </si>
  <si>
    <t>Fabiano Dornelles Aranha</t>
  </si>
  <si>
    <t>Claudio Lucena Moraes</t>
  </si>
  <si>
    <t>Av. Constantino Nery, 2468</t>
  </si>
  <si>
    <t>3868764818</t>
  </si>
  <si>
    <t>700185097363</t>
  </si>
  <si>
    <t>Gislaine Madureira Lucena</t>
  </si>
  <si>
    <t>Thiago Neves Moraes</t>
  </si>
  <si>
    <t>David Lagos Junqueira</t>
  </si>
  <si>
    <t>Av. Agamenon Magalhães, 504</t>
  </si>
  <si>
    <t>7709700101</t>
  </si>
  <si>
    <t>478395993841</t>
  </si>
  <si>
    <t>Ana Caldeira Lagos</t>
  </si>
  <si>
    <t>Clovis Malta Junqueira</t>
  </si>
  <si>
    <t>Cleide Firmeza Rodrigues</t>
  </si>
  <si>
    <t>Av. Senhor dos Passos, 1588</t>
  </si>
  <si>
    <t>2908225919</t>
  </si>
  <si>
    <t>778847711865</t>
  </si>
  <si>
    <t>Brunella Esteves Firmeza</t>
  </si>
  <si>
    <t>Gaspar Silva Rodrigues</t>
  </si>
  <si>
    <t>Angelica Filgueiras Montenegro</t>
  </si>
  <si>
    <t>Av. Amazonas, 616</t>
  </si>
  <si>
    <t>1565429857</t>
  </si>
  <si>
    <t>518491594157</t>
  </si>
  <si>
    <t>Sofia Giacomini Filgueiras</t>
  </si>
  <si>
    <t>Eliseu Girao Montenegro</t>
  </si>
  <si>
    <t>Helena Casagrande Noval</t>
  </si>
  <si>
    <t>Av. Brasil, 1089</t>
  </si>
  <si>
    <t>8571589136</t>
  </si>
  <si>
    <t>947793266612</t>
  </si>
  <si>
    <t>Dora Mascarenhas Casagrande</t>
  </si>
  <si>
    <t>Estevao Monforte Noval</t>
  </si>
  <si>
    <t>Ana Madureira Azevedo</t>
  </si>
  <si>
    <t>Av. Brasil, 3504</t>
  </si>
  <si>
    <t>7903356443</t>
  </si>
  <si>
    <t>286993801138</t>
  </si>
  <si>
    <t>Cláudia Leite Madureira</t>
  </si>
  <si>
    <t>Apostolo Molina Azevedo</t>
  </si>
  <si>
    <t>Chico Igrejas Melo</t>
  </si>
  <si>
    <t>Av. Canal, 3157</t>
  </si>
  <si>
    <t>2560593179</t>
  </si>
  <si>
    <t>421495313055</t>
  </si>
  <si>
    <t>Conceição Martins Igrejas</t>
  </si>
  <si>
    <t>Alvaro Macedo Melo</t>
  </si>
  <si>
    <t>Denilson Garcez Barbosa</t>
  </si>
  <si>
    <t>Av. Dr. Adhemar de Barros, 1944</t>
  </si>
  <si>
    <t>9013142448</t>
  </si>
  <si>
    <t>232687444329</t>
  </si>
  <si>
    <t>Conceição Maldonado Garcez</t>
  </si>
  <si>
    <t>Hamilton Dias Barbosa</t>
  </si>
  <si>
    <t>Brian Ortega Ribeiro</t>
  </si>
  <si>
    <t>Av. Juracy Magalhães, 2941</t>
  </si>
  <si>
    <t>9624776212</t>
  </si>
  <si>
    <t>157337272756</t>
  </si>
  <si>
    <t>Augusta Medeiros Ortega</t>
  </si>
  <si>
    <t>Vitor Evangelista Ribeiro</t>
  </si>
  <si>
    <t>Rafael Guedes Lucena</t>
  </si>
  <si>
    <t>Rua Coronel José Vicente, 1481</t>
  </si>
  <si>
    <t>6402694233</t>
  </si>
  <si>
    <t>064822770480</t>
  </si>
  <si>
    <t>Andrea Moreira Guedes</t>
  </si>
  <si>
    <t>Edmar Nunes Lucena</t>
  </si>
  <si>
    <t>Isadora Fagundes Gimenez</t>
  </si>
  <si>
    <t>Av. Canal, 919</t>
  </si>
  <si>
    <t>8685553503</t>
  </si>
  <si>
    <t>131339989830</t>
  </si>
  <si>
    <t>Dagmar Nobrega Fagundes</t>
  </si>
  <si>
    <t>Emanuel Godoy Gimenez</t>
  </si>
  <si>
    <t>Alicia Farias Pastore</t>
  </si>
  <si>
    <t>Av. Alberto Torres, 1358</t>
  </si>
  <si>
    <t>5534063575</t>
  </si>
  <si>
    <t>060772902901</t>
  </si>
  <si>
    <t>Eliane Pereira Farias</t>
  </si>
  <si>
    <t>Franciscano Pamplona Pastore</t>
  </si>
  <si>
    <t>Ivete Moraes Fernandes</t>
  </si>
  <si>
    <t>Av. Frei Serafim, 684</t>
  </si>
  <si>
    <t>9544893796</t>
  </si>
  <si>
    <t>685568239076</t>
  </si>
  <si>
    <t>Janice Gama Moraes</t>
  </si>
  <si>
    <t>André Pacheco Fernandes</t>
  </si>
  <si>
    <t>Danilo Aguiar Guedes</t>
  </si>
  <si>
    <t>Av. Afonso Pena, 1637</t>
  </si>
  <si>
    <t>0198838985</t>
  </si>
  <si>
    <t>283718929341</t>
  </si>
  <si>
    <t>Dagmar Monteiro Aguiar</t>
  </si>
  <si>
    <t>Francisco Caldas Guedes</t>
  </si>
  <si>
    <t>Angelina Barreto Meneses</t>
  </si>
  <si>
    <t>Rua Moreira César, 2477</t>
  </si>
  <si>
    <t>9715947859</t>
  </si>
  <si>
    <t>403808684251</t>
  </si>
  <si>
    <t>Doralice Guedes Barreto</t>
  </si>
  <si>
    <t>Iuri Pamplona Meneses</t>
  </si>
  <si>
    <t>Eliezer Feitosa Gouveia</t>
  </si>
  <si>
    <t>Av. Dr. Adhemar de Barros, 1992</t>
  </si>
  <si>
    <t>5699636983</t>
  </si>
  <si>
    <t>504167982056</t>
  </si>
  <si>
    <t>Bianca Moraes Feitosa</t>
  </si>
  <si>
    <t>Bernard Carneiro Gouveia</t>
  </si>
  <si>
    <t>Isadora Meneses Moreira</t>
  </si>
  <si>
    <t>Av. Hermes da Fonseca, 2833</t>
  </si>
  <si>
    <t>5350473395</t>
  </si>
  <si>
    <t>435774574405</t>
  </si>
  <si>
    <t>Cecília Machado Meneses</t>
  </si>
  <si>
    <t>Cassio Farias Moreira</t>
  </si>
  <si>
    <t>Flavio Freitas Gama</t>
  </si>
  <si>
    <t>Av. Vicente Machado, 856</t>
  </si>
  <si>
    <t>4746906680</t>
  </si>
  <si>
    <t>303521891944</t>
  </si>
  <si>
    <t>Cícera Guerra Freitas</t>
  </si>
  <si>
    <t>Eliezer Santos Gama</t>
  </si>
  <si>
    <t>Agatha Melo Brito</t>
  </si>
  <si>
    <t>Av. FEB, 2508</t>
  </si>
  <si>
    <t>0273741880</t>
  </si>
  <si>
    <t>233500979057</t>
  </si>
  <si>
    <t>Isadora Vieira Melo</t>
  </si>
  <si>
    <t>Giovanni Lourdes Brito</t>
  </si>
  <si>
    <t>Elba Bello Guimaraes</t>
  </si>
  <si>
    <t>Av. Agamenon Magalhães, 549</t>
  </si>
  <si>
    <t>0784438174</t>
  </si>
  <si>
    <t>090598160241</t>
  </si>
  <si>
    <t>Aparecida Santos Bello</t>
  </si>
  <si>
    <t>Fabricio Barros Guimaraes</t>
  </si>
  <si>
    <t>Glaucia Novaes Barreto</t>
  </si>
  <si>
    <t>Av. Teotônio Segurado, 52</t>
  </si>
  <si>
    <t>3587101451</t>
  </si>
  <si>
    <t>125963672243</t>
  </si>
  <si>
    <t>Inês Lacerda Novaes</t>
  </si>
  <si>
    <t>Rafael Nunes Barreto</t>
  </si>
  <si>
    <t>Briana Fagundes Lemos</t>
  </si>
  <si>
    <t>8256866449</t>
  </si>
  <si>
    <t>710879768645</t>
  </si>
  <si>
    <t>Amélia Rocha Fagundes</t>
  </si>
  <si>
    <t>Demétrio Aguiar Lemos</t>
  </si>
  <si>
    <t>João Ortega Lopes</t>
  </si>
  <si>
    <t>Av. Getúlio Vargas, 2389</t>
  </si>
  <si>
    <t>3323157674</t>
  </si>
  <si>
    <t>952906052021</t>
  </si>
  <si>
    <t>Ivonete Monteiro Ortega</t>
  </si>
  <si>
    <t>Gian Esteves Lopes</t>
  </si>
  <si>
    <t>Ivanilson Ribeiro Mangabeira</t>
  </si>
  <si>
    <t>Rua dos Tupinambás, 3041</t>
  </si>
  <si>
    <t>8160394868</t>
  </si>
  <si>
    <t>560492865949</t>
  </si>
  <si>
    <t>Debora Ortiz Ribeiro</t>
  </si>
  <si>
    <t>Breno Marques Mangabeira</t>
  </si>
  <si>
    <t>Jason Naves Bueno</t>
  </si>
  <si>
    <t>Av. Paulista, 230</t>
  </si>
  <si>
    <t>3526739095</t>
  </si>
  <si>
    <t>680061540875</t>
  </si>
  <si>
    <t>Graça Lopes Naves</t>
  </si>
  <si>
    <t>Cristovao Melo Bueno</t>
  </si>
  <si>
    <t>Almir Pastrocinio Camargo</t>
  </si>
  <si>
    <t>Av. Jerônimo Monteiro, 2522</t>
  </si>
  <si>
    <t>5073941397</t>
  </si>
  <si>
    <t>556397067881</t>
  </si>
  <si>
    <t>Sandra Dantas Pastrocinio</t>
  </si>
  <si>
    <t>Estevao Dornelles Camargo</t>
  </si>
  <si>
    <t>Emanuela Teixeira Monforte</t>
  </si>
  <si>
    <t>Av. Ville Roy, 3169</t>
  </si>
  <si>
    <t>5497568723</t>
  </si>
  <si>
    <t>726122425581</t>
  </si>
  <si>
    <t>Gertrudes Antunes Teixeira</t>
  </si>
  <si>
    <t>Brian Belmonte Monforte</t>
  </si>
  <si>
    <t>Fabio Castello Maldonado</t>
  </si>
  <si>
    <t>Av. Paulista, 2903</t>
  </si>
  <si>
    <t>3531223952</t>
  </si>
  <si>
    <t>285318875982</t>
  </si>
  <si>
    <t>Berenice Matos Castello</t>
  </si>
  <si>
    <t>Franciscano Lago Maldonado</t>
  </si>
  <si>
    <t>Ismael Jardim Ribeiro</t>
  </si>
  <si>
    <t>Av. Frei Serafim, 1639</t>
  </si>
  <si>
    <t>1798113821</t>
  </si>
  <si>
    <t>774882489080</t>
  </si>
  <si>
    <t>Elena Assuncao Jardim</t>
  </si>
  <si>
    <t>Jasper Girao Ribeiro</t>
  </si>
  <si>
    <t>Glauco Figueira Lozano</t>
  </si>
  <si>
    <t>Av. Gov. José Malcher, 1934</t>
  </si>
  <si>
    <t>4405778654</t>
  </si>
  <si>
    <t>835518462571</t>
  </si>
  <si>
    <t>Diná Cantanhede Figueira</t>
  </si>
  <si>
    <t>Clovis Franco Lozano</t>
  </si>
  <si>
    <t>Janaina Esteves Paes</t>
  </si>
  <si>
    <t>Via W3 Sul, 89</t>
  </si>
  <si>
    <t>0865516743</t>
  </si>
  <si>
    <t>155296565243</t>
  </si>
  <si>
    <t>Berenice Barros Esteves</t>
  </si>
  <si>
    <t>Helio Meireles Paes</t>
  </si>
  <si>
    <t>Cibele Gentil Nogueira</t>
  </si>
  <si>
    <t>Av. Júlio de Castilhos, 483</t>
  </si>
  <si>
    <t>5529489196</t>
  </si>
  <si>
    <t>852029257189</t>
  </si>
  <si>
    <t>Almerinda Bittencourt Gentil</t>
  </si>
  <si>
    <t>Jason Paixao Nogueira</t>
  </si>
  <si>
    <t>Carolina Moita Lagos</t>
  </si>
  <si>
    <t>Av. das Figueiras, 1387</t>
  </si>
  <si>
    <t>4070708025</t>
  </si>
  <si>
    <t>892796445573</t>
  </si>
  <si>
    <t>Carolina Muniz Moita</t>
  </si>
  <si>
    <t>Gilmar Inacio Lagos</t>
  </si>
  <si>
    <t>Diego Muniz Miranda</t>
  </si>
  <si>
    <t>Av. Edson da Mota Correia, 838</t>
  </si>
  <si>
    <t>7105761875</t>
  </si>
  <si>
    <t>206849135237</t>
  </si>
  <si>
    <t>Clarice Negrao Muniz</t>
  </si>
  <si>
    <t>Arnaldo Pereira Miranda</t>
  </si>
  <si>
    <t>Aurora Cavalcante Padilha</t>
  </si>
  <si>
    <t>Av. Getúlio Vargas, 3074</t>
  </si>
  <si>
    <t>9134041685</t>
  </si>
  <si>
    <t>378774209201</t>
  </si>
  <si>
    <t>Cilene Gomes Cavalcante</t>
  </si>
  <si>
    <t>Federico Mascarenhas Padilha</t>
  </si>
  <si>
    <t>Ariadina Pinto Chaves</t>
  </si>
  <si>
    <t>Av. Soares Lopes, 1782</t>
  </si>
  <si>
    <t>9197350387</t>
  </si>
  <si>
    <t>392668209597</t>
  </si>
  <si>
    <t>Cleide Cunha Pinto</t>
  </si>
  <si>
    <t>Dagoberto Maciel Chaves</t>
  </si>
  <si>
    <t>Jandira Barreto Camacho</t>
  </si>
  <si>
    <t>Av. Paulista, 1168</t>
  </si>
  <si>
    <t>3723890215</t>
  </si>
  <si>
    <t>745882898883</t>
  </si>
  <si>
    <t>Constança Igrejas Barreto</t>
  </si>
  <si>
    <t>Alvaro Medeiros Camacho</t>
  </si>
  <si>
    <t>Ricardo Teixeira Cardoso</t>
  </si>
  <si>
    <t>Av. Ceará, 3772</t>
  </si>
  <si>
    <t>8812297153</t>
  </si>
  <si>
    <t>739036916020</t>
  </si>
  <si>
    <t>Diná Casagrande Teixeira</t>
  </si>
  <si>
    <t>Pedro Maciel Cardoso</t>
  </si>
  <si>
    <t>Francine Palhares Godoy</t>
  </si>
  <si>
    <t>Av. São Sebastião, 3682</t>
  </si>
  <si>
    <t>7338126564</t>
  </si>
  <si>
    <t>089484246555</t>
  </si>
  <si>
    <t>Brenda Campos Palhares</t>
  </si>
  <si>
    <t>Hugo Malta Godoy</t>
  </si>
  <si>
    <t>Elton Mello Pastrocinio</t>
  </si>
  <si>
    <t>Av. Agamenon Magalhães, 2854</t>
  </si>
  <si>
    <t>3008787712</t>
  </si>
  <si>
    <t>577704466439</t>
  </si>
  <si>
    <t>Cora Azevedo Mello</t>
  </si>
  <si>
    <t>Alan Gonzaga Pastrocinio</t>
  </si>
  <si>
    <t>Angelica Almeida Garcez</t>
  </si>
  <si>
    <t>Av. Bernardo Vieira de Melo, 1139</t>
  </si>
  <si>
    <t>1986230595</t>
  </si>
  <si>
    <t>084889788902</t>
  </si>
  <si>
    <t>Almerinda Fontes Almeida</t>
  </si>
  <si>
    <t>Ives Pastore Garcez</t>
  </si>
  <si>
    <t>Gerson Faria Passos</t>
  </si>
  <si>
    <t>Av. Almirante Barroso, 1017</t>
  </si>
  <si>
    <t>8571370057</t>
  </si>
  <si>
    <t>462963875561</t>
  </si>
  <si>
    <t>Carmem Assuncao Faria</t>
  </si>
  <si>
    <t>Pedro Garrido Passos</t>
  </si>
  <si>
    <t>Antonia Gimenez Cantanhede</t>
  </si>
  <si>
    <t>Rodovia BR-316, 2217</t>
  </si>
  <si>
    <t>1629305363</t>
  </si>
  <si>
    <t>453255894679</t>
  </si>
  <si>
    <t>Damaris Giacomini Gimenez</t>
  </si>
  <si>
    <t>Fausto Leite Cantanhede</t>
  </si>
  <si>
    <t>Thiago Xavier Naves</t>
  </si>
  <si>
    <t>Av. Paulo de Frontin, 1373</t>
  </si>
  <si>
    <t>4827512412</t>
  </si>
  <si>
    <t>724942967227</t>
  </si>
  <si>
    <t>Araci Dornelles Xavier</t>
  </si>
  <si>
    <t>Samuel Miranda Naves</t>
  </si>
  <si>
    <t>Dario Matos Marcondes</t>
  </si>
  <si>
    <t>Av. Central, 486</t>
  </si>
  <si>
    <t>8374726455</t>
  </si>
  <si>
    <t>895617498440</t>
  </si>
  <si>
    <t>Evelin Palhares Matos</t>
  </si>
  <si>
    <t>Edmar Fraga Marcondes</t>
  </si>
  <si>
    <t>Edmilson Palma Madureira</t>
  </si>
  <si>
    <t>Av. Izoraida Marques Peres, 306</t>
  </si>
  <si>
    <t>4827319503</t>
  </si>
  <si>
    <t>964837117827</t>
  </si>
  <si>
    <t>Íris Mello Palma</t>
  </si>
  <si>
    <t>Alan Medeiros Madureira</t>
  </si>
  <si>
    <t>Alan Esteves Camargo</t>
  </si>
  <si>
    <t>Av. Hermes da Fonseca, 2204</t>
  </si>
  <si>
    <t>9356469060</t>
  </si>
  <si>
    <t>872276632661</t>
  </si>
  <si>
    <t>Alicia Ladeira Esteves</t>
  </si>
  <si>
    <t>Cassiano Mata Camargo</t>
  </si>
  <si>
    <t>Caciano Nascimento Mascarenhas</t>
  </si>
  <si>
    <t>Av. Central, 998</t>
  </si>
  <si>
    <t>5210847684</t>
  </si>
  <si>
    <t>802997362720</t>
  </si>
  <si>
    <t>Angela Pinto Nascimento</t>
  </si>
  <si>
    <t>Afonso Andrade Mascarenhas</t>
  </si>
  <si>
    <t>Edson Matos Farias</t>
  </si>
  <si>
    <t>Av. Juracy Magalhães, 62</t>
  </si>
  <si>
    <t>3235087477</t>
  </si>
  <si>
    <t>925056351053</t>
  </si>
  <si>
    <t>Bárbara Lima Matos</t>
  </si>
  <si>
    <t>Gilberto Dornelles Farias</t>
  </si>
  <si>
    <t>Apostolo Paiva Girao</t>
  </si>
  <si>
    <t>Av. Amazonas, 1887</t>
  </si>
  <si>
    <t>2268248355</t>
  </si>
  <si>
    <t>475277967134</t>
  </si>
  <si>
    <t>Eva Delgado Paiva</t>
  </si>
  <si>
    <t>Leonardo Barros Girao</t>
  </si>
  <si>
    <t>Marcelo Campos Mascarenhas</t>
  </si>
  <si>
    <t>Av. Bernardo Vieira de Melo, 3174</t>
  </si>
  <si>
    <t>0335932478</t>
  </si>
  <si>
    <t>226694596086</t>
  </si>
  <si>
    <t>Aida Geraldo Campos</t>
  </si>
  <si>
    <t>Arthur Gouveia Mascarenhas</t>
  </si>
  <si>
    <t>Cris Madureira Almeida</t>
  </si>
  <si>
    <t>Av. Beira Mar, 3299</t>
  </si>
  <si>
    <t>5648998144</t>
  </si>
  <si>
    <t>601457319094</t>
  </si>
  <si>
    <t>Filomena Nobre Madureira</t>
  </si>
  <si>
    <t>Gilson Horta Almeida</t>
  </si>
  <si>
    <t>Glauce Giacomini Caldeira</t>
  </si>
  <si>
    <t>Av. Higienópolis, 3056</t>
  </si>
  <si>
    <t>5452161958</t>
  </si>
  <si>
    <t>276462619965</t>
  </si>
  <si>
    <t>Iris Molina Giacomini</t>
  </si>
  <si>
    <t>Isaias Magalhaes Caldeira</t>
  </si>
  <si>
    <t>Elisabete Borges Camacho</t>
  </si>
  <si>
    <t>Av. Sete de Setembro, 532</t>
  </si>
  <si>
    <t>9029787712</t>
  </si>
  <si>
    <t>201909893577</t>
  </si>
  <si>
    <t>Carla Domingues Borges</t>
  </si>
  <si>
    <t>Domingos Melo Camacho</t>
  </si>
  <si>
    <t>Ester Bello Espinosa</t>
  </si>
  <si>
    <t>Av. Getúlio Vargas, 1782</t>
  </si>
  <si>
    <t>7662639988</t>
  </si>
  <si>
    <t>790432986272</t>
  </si>
  <si>
    <t>Camila Noronha Bello</t>
  </si>
  <si>
    <t>Igor Laranjeira Espinosa</t>
  </si>
  <si>
    <t>Danilo Lourenco Bueno</t>
  </si>
  <si>
    <t>Av. Guararapes, 984</t>
  </si>
  <si>
    <t>0655708947</t>
  </si>
  <si>
    <t>710643096315</t>
  </si>
  <si>
    <t>Elza Paranhos Lourenco</t>
  </si>
  <si>
    <t>Eneas Moreira Bueno</t>
  </si>
  <si>
    <t>Eneas Novaes Caceres</t>
  </si>
  <si>
    <t>Av. Loureiro da Silva, 3139</t>
  </si>
  <si>
    <t>5895242025</t>
  </si>
  <si>
    <t>853388691532</t>
  </si>
  <si>
    <t>Geovana Teixeira Novaes</t>
  </si>
  <si>
    <t>Iuri Batista Caceres</t>
  </si>
  <si>
    <t>Alice Nobrega Moura</t>
  </si>
  <si>
    <t>Av. Soares Lopes, 2182</t>
  </si>
  <si>
    <t>3056546196</t>
  </si>
  <si>
    <t>339092622633</t>
  </si>
  <si>
    <t>Bianca Lourenco Nobrega</t>
  </si>
  <si>
    <t>Breno Ortega Moura</t>
  </si>
  <si>
    <t>Alisson Montenegro Ortega</t>
  </si>
  <si>
    <t>Av. Alberto Maranhão, 2943</t>
  </si>
  <si>
    <t>6678798688</t>
  </si>
  <si>
    <t>602762083837</t>
  </si>
  <si>
    <t>Anamaria Bittencourt Montenegro</t>
  </si>
  <si>
    <t>Dagoberto Silva Ortega</t>
  </si>
  <si>
    <t>Guilhermina Jesus Neto</t>
  </si>
  <si>
    <t>Av. Fernando Afonso Collor de Mello, 1214</t>
  </si>
  <si>
    <t>6640122059</t>
  </si>
  <si>
    <t>040913714949</t>
  </si>
  <si>
    <t>Damaris Rocha Jesus</t>
  </si>
  <si>
    <t>Anselmo Morais Neto</t>
  </si>
  <si>
    <t>Elaine Monteiro Ortega</t>
  </si>
  <si>
    <t>Rua Coronel José Vicente, 3471</t>
  </si>
  <si>
    <t>1156704283</t>
  </si>
  <si>
    <t>546522509965</t>
  </si>
  <si>
    <t>Ariadina Pamplona Monteiro</t>
  </si>
  <si>
    <t>Bernardo Palma Ortega</t>
  </si>
  <si>
    <t>Damaris Moreira Garcez</t>
  </si>
  <si>
    <t>Rua Moreira César, 3964</t>
  </si>
  <si>
    <t>3319912719</t>
  </si>
  <si>
    <t>823194877351</t>
  </si>
  <si>
    <t>Dirce Evangelista Moreira</t>
  </si>
  <si>
    <t>Domingos Casanova Garcez</t>
  </si>
  <si>
    <t>Letícia Pinto Lourdes</t>
  </si>
  <si>
    <t>Av. Getúlio Vargas, 551</t>
  </si>
  <si>
    <t>9259423431</t>
  </si>
  <si>
    <t>052138490827</t>
  </si>
  <si>
    <t>Cleonice Noronha Pinto</t>
  </si>
  <si>
    <t>Daniel Palhares Lourdes</t>
  </si>
  <si>
    <t>Donizete Laranjeira Antunes</t>
  </si>
  <si>
    <t>Av. Parque, 15</t>
  </si>
  <si>
    <t>8078589404</t>
  </si>
  <si>
    <t>157891740315</t>
  </si>
  <si>
    <t>Emanuela Farias Laranjeira</t>
  </si>
  <si>
    <t>Fernandinho Cintra Antunes</t>
  </si>
  <si>
    <t>Cíntia Paiva Lima</t>
  </si>
  <si>
    <t>Av. Guilherme Schell, 3945</t>
  </si>
  <si>
    <t>2436210469</t>
  </si>
  <si>
    <t>877582295174</t>
  </si>
  <si>
    <t>Brenda Molina Paiva</t>
  </si>
  <si>
    <t>Dario Marcondes Lima</t>
  </si>
  <si>
    <t>Arthur Leal Aranha</t>
  </si>
  <si>
    <t>Av. Alfredo Nasser, 2617</t>
  </si>
  <si>
    <t>3457059081</t>
  </si>
  <si>
    <t>156266981372</t>
  </si>
  <si>
    <t>Elba Faria Leal</t>
  </si>
  <si>
    <t>Estevao Bueno Aranha</t>
  </si>
  <si>
    <t>Isabel Antunes Gimenez</t>
  </si>
  <si>
    <t>Via W3 Sul, 2967</t>
  </si>
  <si>
    <t>1069268743</t>
  </si>
  <si>
    <t>808491397547</t>
  </si>
  <si>
    <t>Amália Frota Antunes</t>
  </si>
  <si>
    <t>Brian Carrasco Gimenez</t>
  </si>
  <si>
    <t>Herculano Guerra Cabral</t>
  </si>
  <si>
    <t>Av. Soares Lopes, 3455</t>
  </si>
  <si>
    <t>4972905137</t>
  </si>
  <si>
    <t>285487228301</t>
  </si>
  <si>
    <t>Anastacia Melo Guerra</t>
  </si>
  <si>
    <t>Edmilson Batista Cabral</t>
  </si>
  <si>
    <t>Clodoaldo Caceres Giacomini</t>
  </si>
  <si>
    <t>Av. Goiás, 201</t>
  </si>
  <si>
    <t>6662074707</t>
  </si>
  <si>
    <t>969248398995</t>
  </si>
  <si>
    <t>Conceição Fonseca Caceres</t>
  </si>
  <si>
    <t>Gilson Vieira Giacomini</t>
  </si>
  <si>
    <t>Cibele Silva Aranha</t>
  </si>
  <si>
    <t>Av. Historiador Rubens de Mendonça, 284</t>
  </si>
  <si>
    <t>7074396175</t>
  </si>
  <si>
    <t>674324031610</t>
  </si>
  <si>
    <t>Fabiola Caceres Silva</t>
  </si>
  <si>
    <t>Bernardo Assuncao Aranha</t>
  </si>
  <si>
    <t>Alisson Dias Mendonca</t>
  </si>
  <si>
    <t>Av. Independência, 3490</t>
  </si>
  <si>
    <t>6451269669</t>
  </si>
  <si>
    <t>712954456011</t>
  </si>
  <si>
    <t>Beatriz Filgueiras Dias</t>
  </si>
  <si>
    <t>Fabio Fontes Mendonca</t>
  </si>
  <si>
    <t>André Figueira Farias</t>
  </si>
  <si>
    <t>Av. Bernardo Vieira de Melo, 1943</t>
  </si>
  <si>
    <t>0436352303</t>
  </si>
  <si>
    <t>302919108153</t>
  </si>
  <si>
    <t>Geovana Coimbra Figueira</t>
  </si>
  <si>
    <t>Djalmir Novaes Farias</t>
  </si>
  <si>
    <t>Cristiano Mendes Antunes</t>
  </si>
  <si>
    <t>Av. Atlântica, 1456</t>
  </si>
  <si>
    <t>2489506395</t>
  </si>
  <si>
    <t>764171713866</t>
  </si>
  <si>
    <t>Aurora Faria Mendes</t>
  </si>
  <si>
    <t>Januario Ribeiro Antunes</t>
  </si>
  <si>
    <t>Alisson Medeiros Pamplona</t>
  </si>
  <si>
    <t>Av. Ville Roy, 2316</t>
  </si>
  <si>
    <t>3266340615</t>
  </si>
  <si>
    <t>015122733819</t>
  </si>
  <si>
    <t>Ariela Naves Medeiros</t>
  </si>
  <si>
    <t>Hamilton Almeida Pamplona</t>
  </si>
  <si>
    <t>Araci Lemos Palhares</t>
  </si>
  <si>
    <t>Av. Brasil, 582</t>
  </si>
  <si>
    <t>1386637823</t>
  </si>
  <si>
    <t>858211133807</t>
  </si>
  <si>
    <t>Maria Barreto Lemos</t>
  </si>
  <si>
    <t>Ildo Caceres Palhares</t>
  </si>
  <si>
    <t>Francisco Casagrande Guimaraes</t>
  </si>
  <si>
    <t>Av. Gov. José Malcher, 1830</t>
  </si>
  <si>
    <t>6049480425</t>
  </si>
  <si>
    <t>264692274382</t>
  </si>
  <si>
    <t>Arlene Ladeira Casagrande</t>
  </si>
  <si>
    <t>Eduardo Gaspar Guimaraes</t>
  </si>
  <si>
    <t>Jeronimo Campos Nobre</t>
  </si>
  <si>
    <t>Av. Dr. Adhemar de Barros, 2617</t>
  </si>
  <si>
    <t>7878366367</t>
  </si>
  <si>
    <t>073095649874</t>
  </si>
  <si>
    <t>Júlia Godoy Campos</t>
  </si>
  <si>
    <t>Fabricio Caldas Nobre</t>
  </si>
  <si>
    <t>Jefferson Assuncao Barbosa</t>
  </si>
  <si>
    <t>Rua São Pedro, 2206</t>
  </si>
  <si>
    <t>4177902725</t>
  </si>
  <si>
    <t>472871498245</t>
  </si>
  <si>
    <t>Cacilda Jordao Assuncao</t>
  </si>
  <si>
    <t>Ilan Brito Barbosa</t>
  </si>
  <si>
    <t>Gilberto Paixao Barros</t>
  </si>
  <si>
    <t>Av. Almirante Barroso, 1814</t>
  </si>
  <si>
    <t>8246886083</t>
  </si>
  <si>
    <t>573934443085</t>
  </si>
  <si>
    <t>Evelyn Costa Paixao</t>
  </si>
  <si>
    <t>Elias Gentil Barros</t>
  </si>
  <si>
    <t>Dagmar Paschoal Guerra</t>
  </si>
  <si>
    <t>Av. Afonso Pena, 3994</t>
  </si>
  <si>
    <t>9531285644</t>
  </si>
  <si>
    <t>614077901326</t>
  </si>
  <si>
    <t>Gisele Mesquita Paschoal</t>
  </si>
  <si>
    <t>Ernesto Santos Guerra</t>
  </si>
  <si>
    <t>Cleonice Silva Gaspar</t>
  </si>
  <si>
    <t>Av. Alberto Torres, 3354</t>
  </si>
  <si>
    <t>1833786708</t>
  </si>
  <si>
    <t>166345188589</t>
  </si>
  <si>
    <t>Larissa Lozano Silva</t>
  </si>
  <si>
    <t>Celso Oliveira Gaspar</t>
  </si>
  <si>
    <t>Cesar Machado Aranha</t>
  </si>
  <si>
    <t>Av. Alberto Maranhão, 999</t>
  </si>
  <si>
    <t>0680888713</t>
  </si>
  <si>
    <t>202941521302</t>
  </si>
  <si>
    <t>Juliana Cantanhede Machado</t>
  </si>
  <si>
    <t>Alexandre Naves Aranha</t>
  </si>
  <si>
    <t>Coralina Lima Coelho</t>
  </si>
  <si>
    <t>Av. República do Líbano, 2492</t>
  </si>
  <si>
    <t>0817315839</t>
  </si>
  <si>
    <t>063087470393</t>
  </si>
  <si>
    <t>Dalila Paes Lima</t>
  </si>
  <si>
    <t>Baltazar Machado Coelho</t>
  </si>
  <si>
    <t>João Fraga Santos</t>
  </si>
  <si>
    <t>Av. Júlio de Castilhos, 3858</t>
  </si>
  <si>
    <t>2862379582</t>
  </si>
  <si>
    <t>640814729621</t>
  </si>
  <si>
    <t>Bruna Freitas Fraga</t>
  </si>
  <si>
    <t>Jamil Esteves Santos</t>
  </si>
  <si>
    <t>Maria Cunha Macedo</t>
  </si>
  <si>
    <t>Av. Getúlio Vargas, 3016</t>
  </si>
  <si>
    <t>7930588010</t>
  </si>
  <si>
    <t>464744050843</t>
  </si>
  <si>
    <t>Daiana Coimbra Cunha</t>
  </si>
  <si>
    <t>Iuri Mendes Macedo</t>
  </si>
  <si>
    <t>Alexia Magalhaes Inacio</t>
  </si>
  <si>
    <t>Av. Fab, 814</t>
  </si>
  <si>
    <t>3538920912</t>
  </si>
  <si>
    <t>538834757386</t>
  </si>
  <si>
    <t>Diná Paranhos Magalhaes</t>
  </si>
  <si>
    <t>Ricardo Marcondes Inacio</t>
  </si>
  <si>
    <t>Artur Alves Ferreira</t>
  </si>
  <si>
    <t>Av. Epitácio Pessoa, 3129</t>
  </si>
  <si>
    <t>0362565165</t>
  </si>
  <si>
    <t>575200185669</t>
  </si>
  <si>
    <t>Ivete Inacio Alves</t>
  </si>
  <si>
    <t>Pedro Caldeira Ferreira</t>
  </si>
  <si>
    <t>Guilhermina Garrido Ladeira</t>
  </si>
  <si>
    <t>Av. Constantino Nery, 1674</t>
  </si>
  <si>
    <t>5016102960</t>
  </si>
  <si>
    <t>491682119200</t>
  </si>
  <si>
    <t>Dagmar Marques Garrido</t>
  </si>
  <si>
    <t>Eric Bello Ladeira</t>
  </si>
  <si>
    <t>Gaspar Gama Junqueira</t>
  </si>
  <si>
    <t>Av. Constantino Nery, 1916</t>
  </si>
  <si>
    <t>7978388069</t>
  </si>
  <si>
    <t>153150246356</t>
  </si>
  <si>
    <t>Andrea Matos Gama</t>
  </si>
  <si>
    <t>Cicero Morais Junqueira</t>
  </si>
  <si>
    <t>Fred Junqueira Andrade</t>
  </si>
  <si>
    <t>Av. FEB, 581</t>
  </si>
  <si>
    <t>5512950081</t>
  </si>
  <si>
    <t>171154190826</t>
  </si>
  <si>
    <t>Inês Soares Junqueira</t>
  </si>
  <si>
    <t>Cristiano Fernandes Andrade</t>
  </si>
  <si>
    <t>Camilo Coelho Giacomini</t>
  </si>
  <si>
    <t>Av. IV, 3727</t>
  </si>
  <si>
    <t>2196592034</t>
  </si>
  <si>
    <t>721089976404</t>
  </si>
  <si>
    <t>Ariadina Lacerda Coelho</t>
  </si>
  <si>
    <t>Cris Brito Giacomini</t>
  </si>
  <si>
    <t>Almerinda Mesquita Gouveia</t>
  </si>
  <si>
    <t>Av. Copacabana, 3261</t>
  </si>
  <si>
    <t>6010921517</t>
  </si>
  <si>
    <t>853697314339</t>
  </si>
  <si>
    <t>Amália Evangelista Mesquita</t>
  </si>
  <si>
    <t>Edvaldo Cintra Gouveia</t>
  </si>
  <si>
    <t>Dario Giacomini Caldeira</t>
  </si>
  <si>
    <t>Av. FEB, 2713</t>
  </si>
  <si>
    <t>1630852679</t>
  </si>
  <si>
    <t>345022047529</t>
  </si>
  <si>
    <t>Brenda Casagrande Giacomini</t>
  </si>
  <si>
    <t>Cristiano Neto Caldeira</t>
  </si>
  <si>
    <t>Denilson Cunha Palhares</t>
  </si>
  <si>
    <t>Av. Governador Valadares, 1145</t>
  </si>
  <si>
    <t>3675065202</t>
  </si>
  <si>
    <t>674673480606</t>
  </si>
  <si>
    <t>Patrícia Pamplona Cunha</t>
  </si>
  <si>
    <t>Eliezer Meneses Palhares</t>
  </si>
  <si>
    <t>Jesse Casagrande Nobrega</t>
  </si>
  <si>
    <t>Rua São Pedro, 3323</t>
  </si>
  <si>
    <t>0571211870</t>
  </si>
  <si>
    <t>751536469442</t>
  </si>
  <si>
    <t>Glaucia Fontes Casagrande</t>
  </si>
  <si>
    <t>Cicero Pamplona Nobrega</t>
  </si>
  <si>
    <t>Dóris Cantanhede Guimaraes</t>
  </si>
  <si>
    <t>Av. Barão do Rio Branco, 2512</t>
  </si>
  <si>
    <t>3118632722</t>
  </si>
  <si>
    <t>230799891257</t>
  </si>
  <si>
    <t>Daiana Gomes Cantanhede</t>
  </si>
  <si>
    <t>Samuel Diniz Guimaraes</t>
  </si>
  <si>
    <t>Daiane Fonseca Freire</t>
  </si>
  <si>
    <t>Av. Nove de Julho, 234</t>
  </si>
  <si>
    <t>6775823178</t>
  </si>
  <si>
    <t>000653464515</t>
  </si>
  <si>
    <t>Glaucia Carneiro Fonseca</t>
  </si>
  <si>
    <t>Djalma Macedo Freire</t>
  </si>
  <si>
    <t>Jamil Garcez Andrade</t>
  </si>
  <si>
    <t>Av. Historiador Rubens de Mendonça, 1203</t>
  </si>
  <si>
    <t>7743444519</t>
  </si>
  <si>
    <t>707785404582</t>
  </si>
  <si>
    <t>Amália Lucena Garcez</t>
  </si>
  <si>
    <t>Enzo Baptista Andrade</t>
  </si>
  <si>
    <t>Damaris Lourdes Belmonte</t>
  </si>
  <si>
    <t>Rua Príncipe, 3995</t>
  </si>
  <si>
    <t>1366300386</t>
  </si>
  <si>
    <t>865598531393</t>
  </si>
  <si>
    <t>Janete Nobrega Lourdes</t>
  </si>
  <si>
    <t>Ildo Borges Belmonte</t>
  </si>
  <si>
    <t>Adriano Ortega Neto</t>
  </si>
  <si>
    <t>Av. Goiás, 3493</t>
  </si>
  <si>
    <t>3824924695</t>
  </si>
  <si>
    <t>851874991257</t>
  </si>
  <si>
    <t>Fausta Lago Ortega</t>
  </si>
  <si>
    <t>Arthur Geraldo Neto</t>
  </si>
  <si>
    <t>Apostolo Bueno Avila</t>
  </si>
  <si>
    <t>Rua Moreira César, 2850</t>
  </si>
  <si>
    <t>6762745613</t>
  </si>
  <si>
    <t>830639933825</t>
  </si>
  <si>
    <t>Debora Meireles Bueno</t>
  </si>
  <si>
    <t>Alejandro Neto Avila</t>
  </si>
  <si>
    <t>Ivandro Nobrega Alves</t>
  </si>
  <si>
    <t>Av. Dante Michelini, 67</t>
  </si>
  <si>
    <t>9680338342</t>
  </si>
  <si>
    <t>060435049393</t>
  </si>
  <si>
    <t>Isadora Paes Nobrega</t>
  </si>
  <si>
    <t>Ivan Campos Alves</t>
  </si>
  <si>
    <t>Edmilson Geraldo Souza</t>
  </si>
  <si>
    <t>Av. Amazonas, 1714</t>
  </si>
  <si>
    <t>0095100148</t>
  </si>
  <si>
    <t>001868273862</t>
  </si>
  <si>
    <t>Janaina Ornellas Geraldo</t>
  </si>
  <si>
    <t>Candido Maldonado Souza</t>
  </si>
  <si>
    <t>Íris Camargo Morais</t>
  </si>
  <si>
    <t>Av. Epitácio Pessoa, 1130</t>
  </si>
  <si>
    <t>1014998849</t>
  </si>
  <si>
    <t>333727612034</t>
  </si>
  <si>
    <t>Aline Molina Camargo</t>
  </si>
  <si>
    <t>Hermes Firmeza Morais</t>
  </si>
  <si>
    <t>Cilene Barros Batista</t>
  </si>
  <si>
    <t>Av. Izoraida Marques Peres, 2958</t>
  </si>
  <si>
    <t>7960464680</t>
  </si>
  <si>
    <t>896337483214</t>
  </si>
  <si>
    <t>Isabel Junqueira Barros</t>
  </si>
  <si>
    <t>Eric Malta Batista</t>
  </si>
  <si>
    <t>Jason Morais Melo</t>
  </si>
  <si>
    <t>Av. Frei Serafim, 2662</t>
  </si>
  <si>
    <t>9103406634</t>
  </si>
  <si>
    <t>330346037031</t>
  </si>
  <si>
    <t>Dafne Carvalho Morais</t>
  </si>
  <si>
    <t>Chico Firmeza Melo</t>
  </si>
  <si>
    <t>Giordano Holanda Alves</t>
  </si>
  <si>
    <t>Av. Izoraida Marques Peres, 2253</t>
  </si>
  <si>
    <t>2422179439</t>
  </si>
  <si>
    <t>677019270527</t>
  </si>
  <si>
    <t>Celina Nogueira Holanda</t>
  </si>
  <si>
    <t>Brian Pastrocinio Alves</t>
  </si>
  <si>
    <t>Geraldo Muricy Gimenez</t>
  </si>
  <si>
    <t>Av. Gov. José Malcher, 2352</t>
  </si>
  <si>
    <t>6387440769</t>
  </si>
  <si>
    <t>379118855974</t>
  </si>
  <si>
    <t>Jeane Maldonado Muricy</t>
  </si>
  <si>
    <t>Cristovao Domingues Gimenez</t>
  </si>
  <si>
    <t>Edgar Galvao Maldonado</t>
  </si>
  <si>
    <t>Av. Constantino Nery, 1850</t>
  </si>
  <si>
    <t>3440354356</t>
  </si>
  <si>
    <t>145702735051</t>
  </si>
  <si>
    <t>Isadora Alves Galvao</t>
  </si>
  <si>
    <t>Eric Ortega Maldonado</t>
  </si>
  <si>
    <t>Cicero Evangelista Gonzaga</t>
  </si>
  <si>
    <t>Av. Santana, 2222</t>
  </si>
  <si>
    <t>6716667439</t>
  </si>
  <si>
    <t>054179714132</t>
  </si>
  <si>
    <t>Gertrudes Feitosa Evangelista</t>
  </si>
  <si>
    <t>Carlos Barbosa Gonzaga</t>
  </si>
  <si>
    <t>Euzebio Lins Negrao</t>
  </si>
  <si>
    <t>Av. Ville Roy, 3579</t>
  </si>
  <si>
    <t>4826631655</t>
  </si>
  <si>
    <t>572009661925</t>
  </si>
  <si>
    <t>Coralina Xavier Lins</t>
  </si>
  <si>
    <t>Guto Machado Negrao</t>
  </si>
  <si>
    <t>Evelin Cabral Moreira</t>
  </si>
  <si>
    <t>Av. Alberto Maranhão, 176</t>
  </si>
  <si>
    <t>9113277192</t>
  </si>
  <si>
    <t>770958159084</t>
  </si>
  <si>
    <t>Graça Jardim Cabral</t>
  </si>
  <si>
    <t>Cesar Macedo Moreira</t>
  </si>
  <si>
    <t>Hugo Miranda Melo</t>
  </si>
  <si>
    <t>Av. Fab, 1603</t>
  </si>
  <si>
    <t>5045886311</t>
  </si>
  <si>
    <t>549367167451</t>
  </si>
  <si>
    <t>Almerinda Mello Miranda</t>
  </si>
  <si>
    <t>Edmilson Carneiro Melo</t>
  </si>
  <si>
    <t>Isabel Casanova Mascarenhas</t>
  </si>
  <si>
    <t>Av. Fernando Afonso Collor de Mello, 3711</t>
  </si>
  <si>
    <t>6261127241</t>
  </si>
  <si>
    <t>395773456865</t>
  </si>
  <si>
    <t>Aida Cunha Casanova</t>
  </si>
  <si>
    <t>Jeremias Baptista Mascarenhas</t>
  </si>
  <si>
    <t>Felícia Guimaraes Farias</t>
  </si>
  <si>
    <t>Av. Teotônio Segurado, 1678</t>
  </si>
  <si>
    <t>4596740401</t>
  </si>
  <si>
    <t>522801243093</t>
  </si>
  <si>
    <t>Amélia Marcondes Guimaraes</t>
  </si>
  <si>
    <t>Gisvaldo Horta Farias</t>
  </si>
  <si>
    <t>Ivone Lourenco Pacheco</t>
  </si>
  <si>
    <t>Av. Independência, 519</t>
  </si>
  <si>
    <t>7034493653</t>
  </si>
  <si>
    <t>451608624390</t>
  </si>
  <si>
    <t>Janice Franco Lourenco</t>
  </si>
  <si>
    <t>Geraldo Delgado Pacheco</t>
  </si>
  <si>
    <t>Irene Noronha Chaves</t>
  </si>
  <si>
    <t>Av. Teotônio Segurado, 1386</t>
  </si>
  <si>
    <t>3638179425</t>
  </si>
  <si>
    <t>580764285562</t>
  </si>
  <si>
    <t>Ivone Dornelles Noronha</t>
  </si>
  <si>
    <t>Jesse Teixeira Chaves</t>
  </si>
  <si>
    <t>Anastacia Pastrocinio Maldonado</t>
  </si>
  <si>
    <t>Av. Governador Valadares, 2333</t>
  </si>
  <si>
    <t>4228051162</t>
  </si>
  <si>
    <t>747832419707</t>
  </si>
  <si>
    <t>Eneida Assis Pastrocinio</t>
  </si>
  <si>
    <t>Jean Laranjeira Maldonado</t>
  </si>
  <si>
    <t>Augusta Batista Frota</t>
  </si>
  <si>
    <t>Av. Dorival Cândido Luz de Oliveira, 1983</t>
  </si>
  <si>
    <t>7844245786</t>
  </si>
  <si>
    <t>371149850007</t>
  </si>
  <si>
    <t>Cilene Caldas Batista</t>
  </si>
  <si>
    <t>Fred Casanova Frota</t>
  </si>
  <si>
    <t>Ique Pastore Garrido</t>
  </si>
  <si>
    <t>Av. Fab, 2078</t>
  </si>
  <si>
    <t>0118695323</t>
  </si>
  <si>
    <t>385202046160</t>
  </si>
  <si>
    <t>Geovana Filgueiras Pastore</t>
  </si>
  <si>
    <t>Adilson Nascimento Garrido</t>
  </si>
  <si>
    <t>Anselmo Lousada Moita</t>
  </si>
  <si>
    <t>Av. Goiás, 904</t>
  </si>
  <si>
    <t>5370845750</t>
  </si>
  <si>
    <t>294836131223</t>
  </si>
  <si>
    <t>Luana Mendonca Lousada</t>
  </si>
  <si>
    <t>Helio Jesus Moita</t>
  </si>
  <si>
    <t>Aparicio Gusmao Nobrega</t>
  </si>
  <si>
    <t>Av. Juracy Magalhães, 2905</t>
  </si>
  <si>
    <t>0425840916</t>
  </si>
  <si>
    <t>921183879731</t>
  </si>
  <si>
    <t>Bruna Camargo Gusmao</t>
  </si>
  <si>
    <t>Igor Leite Nobrega</t>
  </si>
  <si>
    <t>Cíntia Souza Palhares</t>
  </si>
  <si>
    <t>Av. Sete de Setembro, 2190</t>
  </si>
  <si>
    <t>0493106008</t>
  </si>
  <si>
    <t>195126848943</t>
  </si>
  <si>
    <t>Cíntia Dantas Souza</t>
  </si>
  <si>
    <t>Andrei Aguiar Palhares</t>
  </si>
  <si>
    <t>Alberto Cordeiro Girao</t>
  </si>
  <si>
    <t>Av. das Figueiras, 2095</t>
  </si>
  <si>
    <t>1028755861</t>
  </si>
  <si>
    <t>314064922215</t>
  </si>
  <si>
    <t>Carmem Lourenco Cordeiro</t>
  </si>
  <si>
    <t>Breno Teixeira Girao</t>
  </si>
  <si>
    <t>Elton Magalhaes Jordao</t>
  </si>
  <si>
    <t>Av. Parque, 3581</t>
  </si>
  <si>
    <t>5834754266</t>
  </si>
  <si>
    <t>891782276721</t>
  </si>
  <si>
    <t>Dulce Gonzaga Magalhaes</t>
  </si>
  <si>
    <t>Ernesto Andrade Jordao</t>
  </si>
  <si>
    <t>Gabriela Camacho Mata</t>
  </si>
  <si>
    <t>Av. Piauí, 3215</t>
  </si>
  <si>
    <t>4673186653</t>
  </si>
  <si>
    <t>538747448875</t>
  </si>
  <si>
    <t>Dafne Chaves Camacho</t>
  </si>
  <si>
    <t>Ricardo Ortega Mata</t>
  </si>
  <si>
    <t>Biel Ornellas Monforte</t>
  </si>
  <si>
    <t>Av. Júlio de Castilhos, 858</t>
  </si>
  <si>
    <t>5187033331</t>
  </si>
  <si>
    <t>939037086090</t>
  </si>
  <si>
    <t>Íris Azevedo Ornellas</t>
  </si>
  <si>
    <t>Edgar Girao Monforte</t>
  </si>
  <si>
    <t>Cilene Coimbra Noval</t>
  </si>
  <si>
    <t>Av. Presidente Vargas, 1390</t>
  </si>
  <si>
    <t>9601070056</t>
  </si>
  <si>
    <t>556172505680</t>
  </si>
  <si>
    <t>Elaine Muniz Coimbra</t>
  </si>
  <si>
    <t>Erico Carneiro Noval</t>
  </si>
  <si>
    <t>Pedro Furquim Faria</t>
  </si>
  <si>
    <t>Av. Juracy Magalhães, 1973</t>
  </si>
  <si>
    <t>3653106994</t>
  </si>
  <si>
    <t>950490227019</t>
  </si>
  <si>
    <t>Eleonora Braga Furquim</t>
  </si>
  <si>
    <t>Erico Mesquita Faria</t>
  </si>
  <si>
    <t>Antonia Aranha Marcondes</t>
  </si>
  <si>
    <t>Av. Almirante Barroso, 1790</t>
  </si>
  <si>
    <t>3448208256</t>
  </si>
  <si>
    <t>625097357684</t>
  </si>
  <si>
    <t>Graciela Gimenez Aranha</t>
  </si>
  <si>
    <t>Djalma Lacerda Marcondes</t>
  </si>
  <si>
    <t>Alice Noronha Malta</t>
  </si>
  <si>
    <t>Av. Santos Dumont, 413</t>
  </si>
  <si>
    <t>2981627550</t>
  </si>
  <si>
    <t>943314275575</t>
  </si>
  <si>
    <t>Andrea Horta Noronha</t>
  </si>
  <si>
    <t>Carlos Furquim Malta</t>
  </si>
  <si>
    <t>Artur Paixao Paiva</t>
  </si>
  <si>
    <t>Av. Izoraida Marques Peres, 3038</t>
  </si>
  <si>
    <t>5309994995</t>
  </si>
  <si>
    <t>638785949587</t>
  </si>
  <si>
    <t>Amélia Matos Paixao</t>
  </si>
  <si>
    <t>Daniel Jesus Paiva</t>
  </si>
  <si>
    <t>Gisvaldo Fonseca Fernandes</t>
  </si>
  <si>
    <t>Av. Fab, 3140</t>
  </si>
  <si>
    <t>5633587538</t>
  </si>
  <si>
    <t>230001658578</t>
  </si>
  <si>
    <t>Angelica Noval Fonseca</t>
  </si>
  <si>
    <t>Gabriel Cavalcante Fernandes</t>
  </si>
  <si>
    <t>Cibele Cantanhede Moreira</t>
  </si>
  <si>
    <t>Av. Alfredo Nasser, 3562</t>
  </si>
  <si>
    <t>1421623504</t>
  </si>
  <si>
    <t>865941859287</t>
  </si>
  <si>
    <t>Almerinda Palhares Cantanhede</t>
  </si>
  <si>
    <t>Arnaldo Evangelista Moreira</t>
  </si>
  <si>
    <t>Angelina Castello Bello</t>
  </si>
  <si>
    <t>Rua Príncipe, 3143</t>
  </si>
  <si>
    <t>5949563510</t>
  </si>
  <si>
    <t>645164022204</t>
  </si>
  <si>
    <t>Jane Machado Castello</t>
  </si>
  <si>
    <t>Estevao Cunha Bello</t>
  </si>
  <si>
    <t>Jaqueline Montenegro Nascimento</t>
  </si>
  <si>
    <t>Av. Fernando Afonso Collor de Mello, 1468</t>
  </si>
  <si>
    <t>1613286127</t>
  </si>
  <si>
    <t>481133245337</t>
  </si>
  <si>
    <t>Bianca Guimaraes Montenegro</t>
  </si>
  <si>
    <t>Jairo Macedo Nascimento</t>
  </si>
  <si>
    <t>Carmem Batista Caceres</t>
  </si>
  <si>
    <t>Av. Ceará, 1141</t>
  </si>
  <si>
    <t>2945006423</t>
  </si>
  <si>
    <t>803687404231</t>
  </si>
  <si>
    <t>Érika Borges Batista</t>
  </si>
  <si>
    <t>Jacinto Espinosa Caceres</t>
  </si>
  <si>
    <t>Elisângela Branco Barreto</t>
  </si>
  <si>
    <t>Av. das Figueiras, 3236</t>
  </si>
  <si>
    <t>9195975415</t>
  </si>
  <si>
    <t>429246156553</t>
  </si>
  <si>
    <t>Analu Mesquita Branco</t>
  </si>
  <si>
    <t>Clovis Lozano Barreto</t>
  </si>
  <si>
    <t>Gabriela Passos Montenegro</t>
  </si>
  <si>
    <t>Av. Alberto Maranhão, 1701</t>
  </si>
  <si>
    <t>2293133998</t>
  </si>
  <si>
    <t>073564747247</t>
  </si>
  <si>
    <t>Dora Henriques Passos</t>
  </si>
  <si>
    <t>Fausto Barreto Montenegro</t>
  </si>
  <si>
    <t>Elena Diniz Freitas</t>
  </si>
  <si>
    <t>Av. Cônego João Lima, 2749</t>
  </si>
  <si>
    <t>8628465744</t>
  </si>
  <si>
    <t>522096025752</t>
  </si>
  <si>
    <t>Sofia Belmonte Diniz</t>
  </si>
  <si>
    <t>Feliciano Faustino Freitas</t>
  </si>
  <si>
    <t>Ivonete Filgueiras Horta</t>
  </si>
  <si>
    <t>Av. Brigadeiro Everaldo Breves, 2517</t>
  </si>
  <si>
    <t>5529874239</t>
  </si>
  <si>
    <t>552509584673</t>
  </si>
  <si>
    <t>Felícia Martins Filgueiras</t>
  </si>
  <si>
    <t>Emerson Lins Horta</t>
  </si>
  <si>
    <t>Jane Monforte Henriques</t>
  </si>
  <si>
    <t>2245099139</t>
  </si>
  <si>
    <t>313717820913</t>
  </si>
  <si>
    <t>Júlia Ornellas Monforte</t>
  </si>
  <si>
    <t>Angelo Cunha Henriques</t>
  </si>
  <si>
    <t>Demétrio Furquim Gama</t>
  </si>
  <si>
    <t>Av. Santana, 332</t>
  </si>
  <si>
    <t>1037991207</t>
  </si>
  <si>
    <t>982974270571</t>
  </si>
  <si>
    <t>Geralda Madureira Furquim</t>
  </si>
  <si>
    <t>Iuri Horta Gama</t>
  </si>
  <si>
    <t>Eduardo Diniz Neto</t>
  </si>
  <si>
    <t>Av. República do Líbano, 3905</t>
  </si>
  <si>
    <t>5809136332</t>
  </si>
  <si>
    <t>659350388582</t>
  </si>
  <si>
    <t>Alexia Camargo Diniz</t>
  </si>
  <si>
    <t>Bento Cabral Neto</t>
  </si>
  <si>
    <t>Damaris Marcondes Batista</t>
  </si>
  <si>
    <t>Av. Presidente Vargas, 343</t>
  </si>
  <si>
    <t>2394406280</t>
  </si>
  <si>
    <t>182051702052</t>
  </si>
  <si>
    <t>Fabiola Gusmao Marcondes</t>
  </si>
  <si>
    <t>Gilberto Passos Batista</t>
  </si>
  <si>
    <t>Djalma Gentil Palma</t>
  </si>
  <si>
    <t>Av. Loureiro da Silva, 1407</t>
  </si>
  <si>
    <t>6018281733</t>
  </si>
  <si>
    <t>772536097649</t>
  </si>
  <si>
    <t>Clarice Carneiro Gentil</t>
  </si>
  <si>
    <t>Felipe Geraldo Palma</t>
  </si>
  <si>
    <t>Ismael Paixao Cantanhede</t>
  </si>
  <si>
    <t>Av. Barão do Rio Branco, 3753</t>
  </si>
  <si>
    <t>4491579164</t>
  </si>
  <si>
    <t>564584294973</t>
  </si>
  <si>
    <t>Larissa Espinosa Paixao</t>
  </si>
  <si>
    <t>Demétrio Horta Cantanhede</t>
  </si>
  <si>
    <t>Eloá Cardoso Feitosa</t>
  </si>
  <si>
    <t>Av. Amazonas, 667</t>
  </si>
  <si>
    <t>9144172883</t>
  </si>
  <si>
    <t>784328207288</t>
  </si>
  <si>
    <t>Graciela Barreto Cardoso</t>
  </si>
  <si>
    <t>Cristiano Brito Feitosa</t>
  </si>
  <si>
    <t>Guto Moraes Fernandes</t>
  </si>
  <si>
    <t>Av. Fab, 2940</t>
  </si>
  <si>
    <t>9714189700</t>
  </si>
  <si>
    <t>884355837357</t>
  </si>
  <si>
    <t>Gabriela Domingues Moraes</t>
  </si>
  <si>
    <t>Hamilton Moreira Fernandes</t>
  </si>
  <si>
    <t>Caciano Nobre Mangabeira</t>
  </si>
  <si>
    <t>Rua do Imperador, 1671</t>
  </si>
  <si>
    <t>6100020840</t>
  </si>
  <si>
    <t>966428431271</t>
  </si>
  <si>
    <t>Antonia Matos Nobre</t>
  </si>
  <si>
    <t>Benicio Montenegro Mangabeira</t>
  </si>
  <si>
    <t>Everton Gama Nobrega</t>
  </si>
  <si>
    <t>Av. Brasil, 2797</t>
  </si>
  <si>
    <t>6720770687</t>
  </si>
  <si>
    <t>412561419993</t>
  </si>
  <si>
    <t>Carminha Lagos Gama</t>
  </si>
  <si>
    <t>Bernardo Borges Nobrega</t>
  </si>
  <si>
    <t>Eliana Monteiro Baptista</t>
  </si>
  <si>
    <t>Rua Setembro, 2623</t>
  </si>
  <si>
    <t>3787303462</t>
  </si>
  <si>
    <t>933301883600</t>
  </si>
  <si>
    <t>Ceres Guedes Monteiro</t>
  </si>
  <si>
    <t>Candido Azevedo Baptista</t>
  </si>
  <si>
    <t>Cíntia Lucena Nobre</t>
  </si>
  <si>
    <t>Av. Campo Grande, 3743</t>
  </si>
  <si>
    <t>2566921124</t>
  </si>
  <si>
    <t>524919323391</t>
  </si>
  <si>
    <t>Juliana Gomes Lucena</t>
  </si>
  <si>
    <t>Lucas Casagrande Nobre</t>
  </si>
  <si>
    <t>Alicia Morais Baptista</t>
  </si>
  <si>
    <t>Av. Brasil, 1003</t>
  </si>
  <si>
    <t>7011548480</t>
  </si>
  <si>
    <t>941015862073</t>
  </si>
  <si>
    <t>Jandira Castro Morais</t>
  </si>
  <si>
    <t>Ricardo Nunes Baptista</t>
  </si>
  <si>
    <t>Baltazar Gonzaga Palma</t>
  </si>
  <si>
    <t>Av. Copacabana, 1081</t>
  </si>
  <si>
    <t>4182532980</t>
  </si>
  <si>
    <t>519623393694</t>
  </si>
  <si>
    <t>Eveline Almeida Gonzaga</t>
  </si>
  <si>
    <t>Erick Rocha Palma</t>
  </si>
  <si>
    <t>Daniela Teixeira Mello</t>
  </si>
  <si>
    <t>Av. Getúlio Vargas, 3112</t>
  </si>
  <si>
    <t>0472701734</t>
  </si>
  <si>
    <t>086163194316</t>
  </si>
  <si>
    <t>Isabela Gusmao Teixeira</t>
  </si>
  <si>
    <t>Helio Aranha Mello</t>
  </si>
  <si>
    <t>Fred Costa Medeiros</t>
  </si>
  <si>
    <t>Rua Setembro, 2216</t>
  </si>
  <si>
    <t>7778040853</t>
  </si>
  <si>
    <t>086512910993</t>
  </si>
  <si>
    <t>Ceres Girao Costa</t>
  </si>
  <si>
    <t>Brian Santos Medeiros</t>
  </si>
  <si>
    <t>Jesse Fagundes Nascimento</t>
  </si>
  <si>
    <t>Av. Sete de Setembro, 2477</t>
  </si>
  <si>
    <t>4024781176</t>
  </si>
  <si>
    <t>154005485831</t>
  </si>
  <si>
    <t>Letícia Mello Fagundes</t>
  </si>
  <si>
    <t>Chico Guimaraes Nascimento</t>
  </si>
  <si>
    <t>Jairo Lourenco Macedo</t>
  </si>
  <si>
    <t>Av. Presidente Kennedy, 317</t>
  </si>
  <si>
    <t>4232725797</t>
  </si>
  <si>
    <t>134783572351</t>
  </si>
  <si>
    <t>Arlene Assis Lourenco</t>
  </si>
  <si>
    <t>Haroldo Assuncao Macedo</t>
  </si>
  <si>
    <t>Almerinda Casanova Teixeira</t>
  </si>
  <si>
    <t>Av. Júlio de Castilhos, 1397</t>
  </si>
  <si>
    <t>8050447834</t>
  </si>
  <si>
    <t>355026113037</t>
  </si>
  <si>
    <t>Ivete Borges Casanova</t>
  </si>
  <si>
    <t>Franciscano Ortega Teixeira</t>
  </si>
  <si>
    <t>Andrei Paes Pastrocinio</t>
  </si>
  <si>
    <t>Av. República do Líbano, 347</t>
  </si>
  <si>
    <t>7387673138</t>
  </si>
  <si>
    <t>189099910031</t>
  </si>
  <si>
    <t>Carminha Caldas Paes</t>
  </si>
  <si>
    <t>Jasper Gonzaga Pastrocinio</t>
  </si>
  <si>
    <t>Italo Frota Bueno</t>
  </si>
  <si>
    <t>Av. Coronel Martiniano, 743</t>
  </si>
  <si>
    <t>6649977028</t>
  </si>
  <si>
    <t>733281281832</t>
  </si>
  <si>
    <t>Cássia Igrejas Frota</t>
  </si>
  <si>
    <t>Alisson Lozano Bueno</t>
  </si>
  <si>
    <t>Isadora Farias Barros</t>
  </si>
  <si>
    <t>Av. Santana, 93</t>
  </si>
  <si>
    <t>1794377693</t>
  </si>
  <si>
    <t>423466497470</t>
  </si>
  <si>
    <t>Heloísa Mesquita Farias</t>
  </si>
  <si>
    <t>Cris Magalhaes Barros</t>
  </si>
  <si>
    <t>Cristiane Avila Jordao</t>
  </si>
  <si>
    <t>Av. Constantino Nery, 2198</t>
  </si>
  <si>
    <t>6782490904</t>
  </si>
  <si>
    <t>062391766485</t>
  </si>
  <si>
    <t>Coralina Carneiro Avila</t>
  </si>
  <si>
    <t>Artur Girao Jordao</t>
  </si>
  <si>
    <t>Gisvaldo Ladeira Vieira</t>
  </si>
  <si>
    <t>Av. Brasil, 1161</t>
  </si>
  <si>
    <t>2553216011</t>
  </si>
  <si>
    <t>568124325001</t>
  </si>
  <si>
    <t>Andrea Alves Ladeira</t>
  </si>
  <si>
    <t>Breno Magalhaes Vieira</t>
  </si>
  <si>
    <t>Fabiola Assuncao Lozano</t>
  </si>
  <si>
    <t>Av. República do Líbano, 500</t>
  </si>
  <si>
    <t>7556432993</t>
  </si>
  <si>
    <t>556998153282</t>
  </si>
  <si>
    <t>Elisa Miranda Assuncao</t>
  </si>
  <si>
    <t>Aparicio Nunes Lozano</t>
  </si>
  <si>
    <t>Cristina Moraes Coimbra</t>
  </si>
  <si>
    <t>Av. República do Líbano, 832</t>
  </si>
  <si>
    <t>0230077412</t>
  </si>
  <si>
    <t>038060454924</t>
  </si>
  <si>
    <t>Heloísa Nobre Moraes</t>
  </si>
  <si>
    <t>Erasmo Guerra Coimbra</t>
  </si>
  <si>
    <t>Eliane Cardoso Branco</t>
  </si>
  <si>
    <t>Av. Agamenon Magalhães, 2726</t>
  </si>
  <si>
    <t>6453067991</t>
  </si>
  <si>
    <t>883750815944</t>
  </si>
  <si>
    <t>Daniele Muricy Cardoso</t>
  </si>
  <si>
    <t>Lucas Morais Branco</t>
  </si>
  <si>
    <t>Bernadete Martins Lourenco</t>
  </si>
  <si>
    <t>Av. Soares Lopes, 1830</t>
  </si>
  <si>
    <t>6881033208</t>
  </si>
  <si>
    <t>784648185354</t>
  </si>
  <si>
    <t>Gisele Muricy Martins</t>
  </si>
  <si>
    <t>Danilo Barreto Lourenco</t>
  </si>
  <si>
    <t>Flávia Fonseca Cintra</t>
  </si>
  <si>
    <t>Av. Juracy Magalhães, 3251</t>
  </si>
  <si>
    <t>8336971243</t>
  </si>
  <si>
    <t>382578310136</t>
  </si>
  <si>
    <t>Izabel Melo Fonseca</t>
  </si>
  <si>
    <t>Caio Jardim Cintra</t>
  </si>
  <si>
    <t>Jane Cardoso Mello</t>
  </si>
  <si>
    <t>Av. Jerônimo Monteiro, 68</t>
  </si>
  <si>
    <t>1829909678</t>
  </si>
  <si>
    <t>899962251958</t>
  </si>
  <si>
    <t>Andrea Monforte Cardoso</t>
  </si>
  <si>
    <t>Candido Lopes Mello</t>
  </si>
  <si>
    <t>Conceição Ribeiro Campos</t>
  </si>
  <si>
    <t>Av. Copacabana, 2422</t>
  </si>
  <si>
    <t>4680493488</t>
  </si>
  <si>
    <t>461685397641</t>
  </si>
  <si>
    <t>Sofia Soares Ribeiro</t>
  </si>
  <si>
    <t>Caio Batista Campos</t>
  </si>
  <si>
    <t>Aurelia Giacomini Ribeiro</t>
  </si>
  <si>
    <t>Av. Santana, 947</t>
  </si>
  <si>
    <t>9928795783</t>
  </si>
  <si>
    <t>960763328171</t>
  </si>
  <si>
    <t>Isadora Nobrega Giacomini</t>
  </si>
  <si>
    <t>Denis Medeiros Ribeiro</t>
  </si>
  <si>
    <t>Edmar Gomes Fraga</t>
  </si>
  <si>
    <t>Av. Alberto Torres, 2888</t>
  </si>
  <si>
    <t>2471345780</t>
  </si>
  <si>
    <t>847071097513</t>
  </si>
  <si>
    <t>Glória Firmeza Gomes</t>
  </si>
  <si>
    <t>Arnaldo Passos Fraga</t>
  </si>
  <si>
    <t>Patrícia Padilha Figueira</t>
  </si>
  <si>
    <t>Av. Bernardo Vieira de Melo, 1927</t>
  </si>
  <si>
    <t>0200667121</t>
  </si>
  <si>
    <t>790320604122</t>
  </si>
  <si>
    <t>Anamaria Rocha Padilha</t>
  </si>
  <si>
    <t>Dario Carneiro Figueira</t>
  </si>
  <si>
    <t>Edilson Delgado Paixao</t>
  </si>
  <si>
    <t>Av. Júlio de Castilhos, 403</t>
  </si>
  <si>
    <t>8489194305</t>
  </si>
  <si>
    <t>083360236636</t>
  </si>
  <si>
    <t>Cleide Coimbra Delgado</t>
  </si>
  <si>
    <t>Brian Godoy Paixao</t>
  </si>
  <si>
    <t>Jaqueline Branco Firmeza</t>
  </si>
  <si>
    <t>Av. Brigadeiro Everaldo Breves, 3785</t>
  </si>
  <si>
    <t>9031191443</t>
  </si>
  <si>
    <t>504458734822</t>
  </si>
  <si>
    <t>Cordélia Mello Branco</t>
  </si>
  <si>
    <t>Beto Coimbra Firmeza</t>
  </si>
  <si>
    <t>Delia Meneses Moraes</t>
  </si>
  <si>
    <t>Av. Getúlio Vargas, 3046</t>
  </si>
  <si>
    <t>2251010402</t>
  </si>
  <si>
    <t>073815546486</t>
  </si>
  <si>
    <t>Aida Branco Meneses</t>
  </si>
  <si>
    <t>Clodoaldo Gouveia Moraes</t>
  </si>
  <si>
    <t>Antonio Passos Pacheco</t>
  </si>
  <si>
    <t>Av. Alberto Maranhão, 709</t>
  </si>
  <si>
    <t>6137931290</t>
  </si>
  <si>
    <t>884489400108</t>
  </si>
  <si>
    <t>Isabel Galvao Passos</t>
  </si>
  <si>
    <t>Benicio Camacho Pacheco</t>
  </si>
  <si>
    <t>Alencar Vieira Miranda</t>
  </si>
  <si>
    <t>Av. Rui Barbosa, 832</t>
  </si>
  <si>
    <t>4393386257</t>
  </si>
  <si>
    <t>071120696968</t>
  </si>
  <si>
    <t>Guilhermina Muniz Vieira</t>
  </si>
  <si>
    <t>Helio Gentil Miranda</t>
  </si>
  <si>
    <t>Jacinto Gama Pastore</t>
  </si>
  <si>
    <t>Rua do Imperador, 1174</t>
  </si>
  <si>
    <t>6962074839</t>
  </si>
  <si>
    <t>427836521838</t>
  </si>
  <si>
    <t>Deise Matos Gama</t>
  </si>
  <si>
    <t>Isaac Santos Pastore</t>
  </si>
  <si>
    <t>Anamaria Fernandes Paiva</t>
  </si>
  <si>
    <t>Av. Alberto Maranhão, 44</t>
  </si>
  <si>
    <t>1414093433</t>
  </si>
  <si>
    <t>718614698869</t>
  </si>
  <si>
    <t>Barbara Andrade Fernandes</t>
  </si>
  <si>
    <t>Alejandro Xavier Paiva</t>
  </si>
  <si>
    <t>Brigite Cunha Filgueiras</t>
  </si>
  <si>
    <t>Av. Fernando Afonso Collor de Mello, 1781</t>
  </si>
  <si>
    <t>6574953580</t>
  </si>
  <si>
    <t>158766492538</t>
  </si>
  <si>
    <t>Edna Camargo Cunha</t>
  </si>
  <si>
    <t>Jefferson Cabral Filgueiras</t>
  </si>
  <si>
    <t>Italo Caldas Lagos</t>
  </si>
  <si>
    <t>Av. Presidente Vargas, 3539</t>
  </si>
  <si>
    <t>5902810041</t>
  </si>
  <si>
    <t>655760427794</t>
  </si>
  <si>
    <t>Brigite Gomes Caldas</t>
  </si>
  <si>
    <t>Marcelo Henriques Lagos</t>
  </si>
  <si>
    <t>Carina Braga Neves</t>
  </si>
  <si>
    <t>Av. Afonso Pena, 2943</t>
  </si>
  <si>
    <t>6800182392</t>
  </si>
  <si>
    <t>193697397764</t>
  </si>
  <si>
    <t>Graciela Henriques Braga</t>
  </si>
  <si>
    <t>Gilson Lourenco Neves</t>
  </si>
  <si>
    <t>Camila Noval Paranhos</t>
  </si>
  <si>
    <t>Av. Higienópolis, 1107</t>
  </si>
  <si>
    <t>5112884417</t>
  </si>
  <si>
    <t>852673284006</t>
  </si>
  <si>
    <t>Debora Pamplona Noval</t>
  </si>
  <si>
    <t>Djalmir Marcondes Paranhos</t>
  </si>
  <si>
    <t>Constança Junqueira Gentil</t>
  </si>
  <si>
    <t>Av. Getúlio Vargas, 1251</t>
  </si>
  <si>
    <t>4330165147</t>
  </si>
  <si>
    <t>073954484859</t>
  </si>
  <si>
    <t>Arlene Coelho Junqueira</t>
  </si>
  <si>
    <t>Alberto Ferreira Gentil</t>
  </si>
  <si>
    <t>Gabriel Meneses Molina</t>
  </si>
  <si>
    <t>Rua dos Tupinambás, 729</t>
  </si>
  <si>
    <t>1884386705</t>
  </si>
  <si>
    <t>640936612134</t>
  </si>
  <si>
    <t>Fausta Inacio Meneses</t>
  </si>
  <si>
    <t>Erasmo Aranha Molina</t>
  </si>
  <si>
    <t>Frederico Souza Geraldo</t>
  </si>
  <si>
    <t>Av. Bernardo Vieira de Melo, 336</t>
  </si>
  <si>
    <t>8060542880</t>
  </si>
  <si>
    <t>415137453425</t>
  </si>
  <si>
    <t>Frederica Cintra Souza</t>
  </si>
  <si>
    <t>Fernandinho Passos Geraldo</t>
  </si>
  <si>
    <t>Gilberto Macedo Noronha</t>
  </si>
  <si>
    <t>Av. Capitão Silvio, 2799</t>
  </si>
  <si>
    <t>9270280792</t>
  </si>
  <si>
    <t>706793058550</t>
  </si>
  <si>
    <t>Cilene Nunes Macedo</t>
  </si>
  <si>
    <t>Gilmar Paiva Noronha</t>
  </si>
  <si>
    <t>Débora Jordao Assuncao</t>
  </si>
  <si>
    <t>Rua do Imperador, 2159</t>
  </si>
  <si>
    <t>4087097451</t>
  </si>
  <si>
    <t>111470598409</t>
  </si>
  <si>
    <t>Eulália Giacomini Jordao</t>
  </si>
  <si>
    <t>Gustavo Nobre Assuncao</t>
  </si>
  <si>
    <t>Alisson Casanova Barreto</t>
  </si>
  <si>
    <t>Av. Alberto Torres, 1772</t>
  </si>
  <si>
    <t>4991792341</t>
  </si>
  <si>
    <t>728517663390</t>
  </si>
  <si>
    <t>Aura Morais Casanova</t>
  </si>
  <si>
    <t>Caciano Fagundes Barreto</t>
  </si>
  <si>
    <t>Danilo Giacomini Macedo</t>
  </si>
  <si>
    <t>Av. Brasil, 1208</t>
  </si>
  <si>
    <t>0284177251</t>
  </si>
  <si>
    <t>709753088802</t>
  </si>
  <si>
    <t>Damaris Machado Giacomini</t>
  </si>
  <si>
    <t>Gilmar Casagrande Macedo</t>
  </si>
  <si>
    <t>Eduardo Lourenco Noronha</t>
  </si>
  <si>
    <t>Av. João César de Oliveira, 2083</t>
  </si>
  <si>
    <t>7448931326</t>
  </si>
  <si>
    <t>069757915813</t>
  </si>
  <si>
    <t>Isabela Aguiar Lourenco</t>
  </si>
  <si>
    <t>Jefferson Palhares Noronha</t>
  </si>
  <si>
    <t>Gertrudes Ribeiro Pastore</t>
  </si>
  <si>
    <t>Av. Parque, 3310</t>
  </si>
  <si>
    <t>3530384252</t>
  </si>
  <si>
    <t>837584527628</t>
  </si>
  <si>
    <t>Alexia Lousada Ribeiro</t>
  </si>
  <si>
    <t>Cris Horta Pastore</t>
  </si>
  <si>
    <t>Cleusa Garcez Malta</t>
  </si>
  <si>
    <t>Av. Presidente Vargas, 3527</t>
  </si>
  <si>
    <t>5292555948</t>
  </si>
  <si>
    <t>062540030184</t>
  </si>
  <si>
    <t>Constança Lins Garcez</t>
  </si>
  <si>
    <t>Jandir Montenegro Malta</t>
  </si>
  <si>
    <t>Geremias Neves Avila</t>
  </si>
  <si>
    <t>Av. Copacabana, 1791</t>
  </si>
  <si>
    <t>4752440096</t>
  </si>
  <si>
    <t>349493457155</t>
  </si>
  <si>
    <t>Guiomar Assis Neves</t>
  </si>
  <si>
    <t>Clovis Azevedo Avila</t>
  </si>
  <si>
    <t>Ariela Andrade Guimaraes</t>
  </si>
  <si>
    <t>Av. Governador Valadares, 1793</t>
  </si>
  <si>
    <t>9124275891</t>
  </si>
  <si>
    <t>623825529225</t>
  </si>
  <si>
    <t>Jane Esteves Andrade</t>
  </si>
  <si>
    <t>Ernesto Guedes Guimaraes</t>
  </si>
  <si>
    <t>Celso Nogueira Caldas</t>
  </si>
  <si>
    <t>Av. Jerônimo de Albuquerque, 3064</t>
  </si>
  <si>
    <t>8113876077</t>
  </si>
  <si>
    <t>346210421463</t>
  </si>
  <si>
    <t>Cássia Braga Nogueira</t>
  </si>
  <si>
    <t>Amauri Machado Caldas</t>
  </si>
  <si>
    <t>Eric Pacheco Assis</t>
  </si>
  <si>
    <t>Av. Independência, 108</t>
  </si>
  <si>
    <t>6390812341</t>
  </si>
  <si>
    <t>270337564177</t>
  </si>
  <si>
    <t>Elisa Dias Pacheco</t>
  </si>
  <si>
    <t>Iomar Franco Assis</t>
  </si>
  <si>
    <t>Ineu Ladeira Pastrocinio</t>
  </si>
  <si>
    <t>Av. Amazonas, 2985</t>
  </si>
  <si>
    <t>5397693249</t>
  </si>
  <si>
    <t>368658070090</t>
  </si>
  <si>
    <t>Danubia Pinto Ladeira</t>
  </si>
  <si>
    <t>Jesse Bueno Pastrocinio</t>
  </si>
  <si>
    <t>Catarina Assuncao Jordao</t>
  </si>
  <si>
    <t>Av. Brasil, 2315</t>
  </si>
  <si>
    <t>8051598330</t>
  </si>
  <si>
    <t>814631303018</t>
  </si>
  <si>
    <t>Ceres Meireles Assuncao</t>
  </si>
  <si>
    <t>Gledson Barbosa Jordao</t>
  </si>
  <si>
    <t>Cesar Magalhaes Pinto</t>
  </si>
  <si>
    <t>Av. Fab, 3834</t>
  </si>
  <si>
    <t>4588320313</t>
  </si>
  <si>
    <t>734986457269</t>
  </si>
  <si>
    <t>Cleonice Ribeiro Magalhaes</t>
  </si>
  <si>
    <t>João Camacho Pinto</t>
  </si>
  <si>
    <t>Aparicio Miranda Costa</t>
  </si>
  <si>
    <t>Av. Brasil, 982</t>
  </si>
  <si>
    <t>1225152632</t>
  </si>
  <si>
    <t>343340711858</t>
  </si>
  <si>
    <t>Sofia Oliveira Miranda</t>
  </si>
  <si>
    <t>Adilson Muricy Costa</t>
  </si>
  <si>
    <t>Constança Borges Baptista</t>
  </si>
  <si>
    <t>Av. Paulista, 1019</t>
  </si>
  <si>
    <t>7116015377</t>
  </si>
  <si>
    <t>975588545694</t>
  </si>
  <si>
    <t>Janaina Maldonado Borges</t>
  </si>
  <si>
    <t>Heitor Muricy Baptista</t>
  </si>
  <si>
    <t>Denise Garrido Negrao</t>
  </si>
  <si>
    <t>Rua da Praia, 2547</t>
  </si>
  <si>
    <t>0762451189</t>
  </si>
  <si>
    <t>067400500020</t>
  </si>
  <si>
    <t>Heloísa Ferreira Garrido</t>
  </si>
  <si>
    <t>Ives Lagos Negrao</t>
  </si>
  <si>
    <t>Júlia Paiva Castello</t>
  </si>
  <si>
    <t>Av. Dr. Adhemar de Barros, 101</t>
  </si>
  <si>
    <t>1021966648</t>
  </si>
  <si>
    <t>190279765896</t>
  </si>
  <si>
    <t>Cacilda Pereira Paiva</t>
  </si>
  <si>
    <t>Helder Mata Castello</t>
  </si>
  <si>
    <t>Dalila Nobrega Muricy</t>
  </si>
  <si>
    <t>Av. Barão do Rio Branco, 3967</t>
  </si>
  <si>
    <t>6043618332</t>
  </si>
  <si>
    <t>907473296044</t>
  </si>
  <si>
    <t>Maria Marinho Nobrega</t>
  </si>
  <si>
    <t>Igor Pastore Muricy</t>
  </si>
  <si>
    <t>Júlia Campos Batista</t>
  </si>
  <si>
    <t>Av. Presidente Kennedy, 118</t>
  </si>
  <si>
    <t>6415131201</t>
  </si>
  <si>
    <t>252612606752</t>
  </si>
  <si>
    <t>Eloá Pinto Campos</t>
  </si>
  <si>
    <t>Emanuel Assuncao Batista</t>
  </si>
  <si>
    <t>Constança Mendes Bueno</t>
  </si>
  <si>
    <t>Av. Gov. José Malcher, 2406</t>
  </si>
  <si>
    <t>2031687120</t>
  </si>
  <si>
    <t>815267665810</t>
  </si>
  <si>
    <t>Cleide Barros Mendes</t>
  </si>
  <si>
    <t>Eduardo Baptista Bueno</t>
  </si>
  <si>
    <t>Heitor Santos Nogueira</t>
  </si>
  <si>
    <t>Av. Brasil, 1657</t>
  </si>
  <si>
    <t>5568935263</t>
  </si>
  <si>
    <t>565181473510</t>
  </si>
  <si>
    <t>Izabel Lourenco Santos</t>
  </si>
  <si>
    <t>Camilo Chaves Nogueira</t>
  </si>
  <si>
    <t>Carina Jardim Pastore</t>
  </si>
  <si>
    <t>Via W3 Sul, 2347</t>
  </si>
  <si>
    <t>6006435582</t>
  </si>
  <si>
    <t>362311630428</t>
  </si>
  <si>
    <t>Isabel Nobrega Jardim</t>
  </si>
  <si>
    <t>Caio Lopes Pastore</t>
  </si>
  <si>
    <t>Estela Cabral Castello</t>
  </si>
  <si>
    <t>Av. Soares Lopes, 364</t>
  </si>
  <si>
    <t>1462307969</t>
  </si>
  <si>
    <t>039119320274</t>
  </si>
  <si>
    <t>Daiana Casanova Cabral</t>
  </si>
  <si>
    <t>Edvaldo Medeiros Castello</t>
  </si>
  <si>
    <t>Camila Casanova Henriques</t>
  </si>
  <si>
    <t>Av. República do Líbano, 2740</t>
  </si>
  <si>
    <t>3828333833</t>
  </si>
  <si>
    <t>908224670648</t>
  </si>
  <si>
    <t>Gertrudes Lima Casanova</t>
  </si>
  <si>
    <t>Anselmo Domingues Henriques</t>
  </si>
  <si>
    <t>Donizete Mendonca Junqueira</t>
  </si>
  <si>
    <t>Av. Dr. Yvens Cordeiro, 1641</t>
  </si>
  <si>
    <t>1821994937</t>
  </si>
  <si>
    <t>656280350894</t>
  </si>
  <si>
    <t>Jane Cavalcante Mendonca</t>
  </si>
  <si>
    <t>Gelson Molina Junqueira</t>
  </si>
  <si>
    <t>Andrei Neto Montenegro</t>
  </si>
  <si>
    <t>Av. Piauí, 2675</t>
  </si>
  <si>
    <t>9270265676</t>
  </si>
  <si>
    <t>532032012574</t>
  </si>
  <si>
    <t>Alicia Lucena Neto</t>
  </si>
  <si>
    <t>Fabiano Baptista Montenegro</t>
  </si>
  <si>
    <t>Gelson Maciel Paschoal</t>
  </si>
  <si>
    <t>Av. Independência, 2136</t>
  </si>
  <si>
    <t>5675763828</t>
  </si>
  <si>
    <t>443595195715</t>
  </si>
  <si>
    <t>Denise Caldeira Maciel</t>
  </si>
  <si>
    <t>Biel Paixao Paschoal</t>
  </si>
  <si>
    <t>Irene Girao Jardim</t>
  </si>
  <si>
    <t>Av. Soares Lopes, 1506</t>
  </si>
  <si>
    <t>6940142586</t>
  </si>
  <si>
    <t>843897567481</t>
  </si>
  <si>
    <t>Juliana Machado Girao</t>
  </si>
  <si>
    <t>Jean Naves Jardim</t>
  </si>
  <si>
    <t>Giordano Aguiar Machado</t>
  </si>
  <si>
    <t>Rua do Imperador, 377</t>
  </si>
  <si>
    <t>0498276051</t>
  </si>
  <si>
    <t>511358785288</t>
  </si>
  <si>
    <t>Cibele Bueno Aguiar</t>
  </si>
  <si>
    <t>Adilson Fraga Machado</t>
  </si>
  <si>
    <t>Alice Ribeiro Figueira</t>
  </si>
  <si>
    <t>Av. Governador Leonel Brizola, 472</t>
  </si>
  <si>
    <t>5444664205</t>
  </si>
  <si>
    <t>433900555700</t>
  </si>
  <si>
    <t>Angelina Araujo Ribeiro</t>
  </si>
  <si>
    <t>Chico Macedo Figueira</t>
  </si>
  <si>
    <t>Geraldo Braga Cabral</t>
  </si>
  <si>
    <t>Av. Piauí, 815</t>
  </si>
  <si>
    <t>6470196046</t>
  </si>
  <si>
    <t>895167383942</t>
  </si>
  <si>
    <t>Amélia Nogueira Braga</t>
  </si>
  <si>
    <t>Israel Nascimento Cabral</t>
  </si>
  <si>
    <t>Gertrudes Assuncao Freire</t>
  </si>
  <si>
    <t>Av. Dom José, 1100</t>
  </si>
  <si>
    <t>2823064306</t>
  </si>
  <si>
    <t>824587619480</t>
  </si>
  <si>
    <t>Agatha Belmonte Assuncao</t>
  </si>
  <si>
    <t>Edvaldo Barreto Freire</t>
  </si>
  <si>
    <t>Iuri Xavier Girao</t>
  </si>
  <si>
    <t>Av. Nereu Ramos, 3732</t>
  </si>
  <si>
    <t>0717723319</t>
  </si>
  <si>
    <t>132210516914</t>
  </si>
  <si>
    <t>Alessandra Mendes Xavier</t>
  </si>
  <si>
    <t>Cassio Marinho Girao</t>
  </si>
  <si>
    <t>Estevao Bueno Delgado</t>
  </si>
  <si>
    <t>Via W3 Sul, 2368</t>
  </si>
  <si>
    <t>6003634576</t>
  </si>
  <si>
    <t>723704730908</t>
  </si>
  <si>
    <t>Jane Paixao Bueno</t>
  </si>
  <si>
    <t>Dagoberto Branco Delgado</t>
  </si>
  <si>
    <t>Jamil Silva Caceres</t>
  </si>
  <si>
    <t>Av. Paulo de Frontin, 994</t>
  </si>
  <si>
    <t>7657105609</t>
  </si>
  <si>
    <t>618677644331</t>
  </si>
  <si>
    <t>Angelica Inacio Silva</t>
  </si>
  <si>
    <t>Gilberto Jardim Caceres</t>
  </si>
  <si>
    <t>Érika Macedo Almeida</t>
  </si>
  <si>
    <t>Av. Rui Barbosa, 1614</t>
  </si>
  <si>
    <t>5343350113</t>
  </si>
  <si>
    <t>593402626305</t>
  </si>
  <si>
    <t>Angelina Coelho Macedo</t>
  </si>
  <si>
    <t>Gian Carvalho Almeida</t>
  </si>
  <si>
    <t>Jeane Muricy Matos</t>
  </si>
  <si>
    <t>Av. Caxangá, 2417</t>
  </si>
  <si>
    <t>6609908474</t>
  </si>
  <si>
    <t>038563211222</t>
  </si>
  <si>
    <t>Angelica Neto Muricy</t>
  </si>
  <si>
    <t>Erico Caldas Matos</t>
  </si>
  <si>
    <t>David Cavalcante Lozano</t>
  </si>
  <si>
    <t>Av. Presidente Kennedy, 1636</t>
  </si>
  <si>
    <t>5544347683</t>
  </si>
  <si>
    <t>312879257398</t>
  </si>
  <si>
    <t>Heloísa Palhares Cavalcante</t>
  </si>
  <si>
    <t>Euzebio Filgueiras Lozano</t>
  </si>
  <si>
    <t>Almerinda Franco Avila</t>
  </si>
  <si>
    <t>Av. Governador Valadares, 377</t>
  </si>
  <si>
    <t>3218789694</t>
  </si>
  <si>
    <t>246475168895</t>
  </si>
  <si>
    <t>Ivonete Caldeira Franco</t>
  </si>
  <si>
    <t>Casemiro Cantanhede Avila</t>
  </si>
  <si>
    <t>Samuel Borges Passos</t>
  </si>
  <si>
    <t>Av. Higienópolis, 1525</t>
  </si>
  <si>
    <t>7432644234</t>
  </si>
  <si>
    <t>672807583910</t>
  </si>
  <si>
    <t>Ester Monforte Borges</t>
  </si>
  <si>
    <t>Ildo Marcondes Passos</t>
  </si>
  <si>
    <t>Elisabete Melo Almeida</t>
  </si>
  <si>
    <t>Av. Jorge Teixeira, 3802</t>
  </si>
  <si>
    <t>4564761133</t>
  </si>
  <si>
    <t>989744458101</t>
  </si>
  <si>
    <t>Helena Lousada Melo</t>
  </si>
  <si>
    <t>Hermes Lourdes Almeida</t>
  </si>
  <si>
    <t>Ilan Rodrigues Martins</t>
  </si>
  <si>
    <t>Av. Presidente Kennedy, 219</t>
  </si>
  <si>
    <t>0143195007</t>
  </si>
  <si>
    <t>042440737364</t>
  </si>
  <si>
    <t>Alana Pamplona Rodrigues</t>
  </si>
  <si>
    <t>Erasmo Mesquita Martins</t>
  </si>
  <si>
    <t>Apostolo Moraes Leite</t>
  </si>
  <si>
    <t>Av. Independência, 414</t>
  </si>
  <si>
    <t>8563209415</t>
  </si>
  <si>
    <t>292676159815</t>
  </si>
  <si>
    <t>Amanda Borges Moraes</t>
  </si>
  <si>
    <t>Djalmir Rocha Leite</t>
  </si>
  <si>
    <t>Douglas Lagos Moura</t>
  </si>
  <si>
    <t>Av. Brasil, 643</t>
  </si>
  <si>
    <t>0274484221</t>
  </si>
  <si>
    <t>890190291023</t>
  </si>
  <si>
    <t>Beatriz Campos Lagos</t>
  </si>
  <si>
    <t>Franciscano Nobrega Moura</t>
  </si>
  <si>
    <t>Giovanni Dantas Domingues</t>
  </si>
  <si>
    <t>Av. Guilherme Schell, 1849</t>
  </si>
  <si>
    <t>3086728693</t>
  </si>
  <si>
    <t>158053431142</t>
  </si>
  <si>
    <t>Fabiana Faustino Dantas</t>
  </si>
  <si>
    <t>Dante Maldonado Domingues</t>
  </si>
  <si>
    <t>Enzo Filgueiras Goulart</t>
  </si>
  <si>
    <t>Av. Governador Leonel Brizola, 3578</t>
  </si>
  <si>
    <t>2292751700</t>
  </si>
  <si>
    <t>152585896033</t>
  </si>
  <si>
    <t>Elena Dias Filgueiras</t>
  </si>
  <si>
    <t>Henrique Cabral Goulart</t>
  </si>
  <si>
    <t>Carla Gentil Jordao</t>
  </si>
  <si>
    <t>Av. Canal, 1530</t>
  </si>
  <si>
    <t>2950109743</t>
  </si>
  <si>
    <t>896246187035</t>
  </si>
  <si>
    <t>Gisela Molina Gentil</t>
  </si>
  <si>
    <t>Helder Carrasco Jordao</t>
  </si>
  <si>
    <t>Amaro Lago Pastore</t>
  </si>
  <si>
    <t>Av. Getúlio Vargas, 335</t>
  </si>
  <si>
    <t>8165900148</t>
  </si>
  <si>
    <t>701151045343</t>
  </si>
  <si>
    <t>Carmem Brito Lago</t>
  </si>
  <si>
    <t>Camilo Figueiredo Pastore</t>
  </si>
  <si>
    <t>Fabio Marques Lozano</t>
  </si>
  <si>
    <t>Av. Alberto Torres, 1494</t>
  </si>
  <si>
    <t>4335954665</t>
  </si>
  <si>
    <t>127466124706</t>
  </si>
  <si>
    <t>Anastacia Garcez Marques</t>
  </si>
  <si>
    <t>Djalma Lima Lozano</t>
  </si>
  <si>
    <t>Angelo Leite Marques</t>
  </si>
  <si>
    <t>Av. Santana, 862</t>
  </si>
  <si>
    <t>2745931941</t>
  </si>
  <si>
    <t>581020694478</t>
  </si>
  <si>
    <t>Evelin Ferreira Leite</t>
  </si>
  <si>
    <t>Ildo Braga Marques</t>
  </si>
  <si>
    <t>Igor Casanova Malta</t>
  </si>
  <si>
    <t>Av. Atlântica, 3758</t>
  </si>
  <si>
    <t>3098299330</t>
  </si>
  <si>
    <t>460210587814</t>
  </si>
  <si>
    <t>Alana Mesquita Casanova</t>
  </si>
  <si>
    <t>Aparicio Bittencourt Malta</t>
  </si>
  <si>
    <t>Jane Lins Lima</t>
  </si>
  <si>
    <t>Av. Edson da Mota Correia, 2732</t>
  </si>
  <si>
    <t>1680718357</t>
  </si>
  <si>
    <t>581494557518</t>
  </si>
  <si>
    <t>Estela Lourenco Lins</t>
  </si>
  <si>
    <t>Aurelio Assuncao Lima</t>
  </si>
  <si>
    <t>Sofia Rodrigues Castro</t>
  </si>
  <si>
    <t>Rua Príncipe, 2165</t>
  </si>
  <si>
    <t>4784857525</t>
  </si>
  <si>
    <t>280988520143</t>
  </si>
  <si>
    <t>Aura Feitosa Rodrigues</t>
  </si>
  <si>
    <t>Benjamin Esteves Castro</t>
  </si>
  <si>
    <t>Sofia Padilha Faria</t>
  </si>
  <si>
    <t>Av. Piauí, 3014</t>
  </si>
  <si>
    <t>1151211825</t>
  </si>
  <si>
    <t>054190390793</t>
  </si>
  <si>
    <t>Dalila Mangabeira Padilha</t>
  </si>
  <si>
    <t>Flavio Melo Faria</t>
  </si>
  <si>
    <t>Ricardo Lopes Antunes</t>
  </si>
  <si>
    <t>Rua São Pedro, 2170</t>
  </si>
  <si>
    <t>4711925498</t>
  </si>
  <si>
    <t>084645186614</t>
  </si>
  <si>
    <t>Elisabete Alves Lopes</t>
  </si>
  <si>
    <t>Ferdinando Pacheco Antunes</t>
  </si>
  <si>
    <t>Edna Mesquita Nogueira</t>
  </si>
  <si>
    <t>Av. Francisco Glicério, 311</t>
  </si>
  <si>
    <t>8795683519</t>
  </si>
  <si>
    <t>416039386417</t>
  </si>
  <si>
    <t>Juliana Negrao Mesquita</t>
  </si>
  <si>
    <t>Denilson Andrade Nogueira</t>
  </si>
  <si>
    <t>Jeremias Diniz Araujo</t>
  </si>
  <si>
    <t>Av. Barão do Rio Branco, 2607</t>
  </si>
  <si>
    <t>2402986167</t>
  </si>
  <si>
    <t>378763760162</t>
  </si>
  <si>
    <t>Astrid Cavalcante Diniz</t>
  </si>
  <si>
    <t>Adalberto Muniz Araujo</t>
  </si>
  <si>
    <t>Adriano Faria Pereira</t>
  </si>
  <si>
    <t>Av. Goiás, 1273</t>
  </si>
  <si>
    <t>1499188670</t>
  </si>
  <si>
    <t>608790975742</t>
  </si>
  <si>
    <t>Amanda Moraes Faria</t>
  </si>
  <si>
    <t>Iuri Pamplona Pereira</t>
  </si>
  <si>
    <t>Helena Lousada Ferreira</t>
  </si>
  <si>
    <t>Av. São Sebastião, 2045</t>
  </si>
  <si>
    <t>0536999532</t>
  </si>
  <si>
    <t>995415826989</t>
  </si>
  <si>
    <t>Júlia Macedo Lousada</t>
  </si>
  <si>
    <t>Erico Pamplona Ferreira</t>
  </si>
  <si>
    <t>Bernardo Bittencourt Freitas</t>
  </si>
  <si>
    <t>Av. Fab, 752</t>
  </si>
  <si>
    <t>3513951042</t>
  </si>
  <si>
    <t>156730559062</t>
  </si>
  <si>
    <t>Janaina Maciel Bittencourt</t>
  </si>
  <si>
    <t>Aldo Geraldo Freitas</t>
  </si>
  <si>
    <t>Hermes Franco Diniz</t>
  </si>
  <si>
    <t>Rua São Pedro, 3084</t>
  </si>
  <si>
    <t>7332983136</t>
  </si>
  <si>
    <t>576632032662</t>
  </si>
  <si>
    <t>Clarice Ortega Franco</t>
  </si>
  <si>
    <t>Cicero Noval Diniz</t>
  </si>
  <si>
    <t>Ariadina Furquim Araujo</t>
  </si>
  <si>
    <t>Via W3 Sul, 470</t>
  </si>
  <si>
    <t>4453632807</t>
  </si>
  <si>
    <t>423242822947</t>
  </si>
  <si>
    <t>Dafne Castro Furquim</t>
  </si>
  <si>
    <t>Caio Moura Araujo</t>
  </si>
  <si>
    <t>Ana Alves Molina</t>
  </si>
  <si>
    <t>Av. Jorge Amado, 993</t>
  </si>
  <si>
    <t>2356318772</t>
  </si>
  <si>
    <t>731498975722</t>
  </si>
  <si>
    <t>Vanessa Montenegro Alves</t>
  </si>
  <si>
    <t>Fabio Henriques Molina</t>
  </si>
  <si>
    <t>Beatriz Moraes Frota</t>
  </si>
  <si>
    <t>Av. Afonso Pena, 82</t>
  </si>
  <si>
    <t>7137997305</t>
  </si>
  <si>
    <t>857656865417</t>
  </si>
  <si>
    <t>Eva Laranjeira Moraes</t>
  </si>
  <si>
    <t>Emilio Palma Frota</t>
  </si>
  <si>
    <t>Amália Novaes Melo</t>
  </si>
  <si>
    <t>Av. Copacabana, 38</t>
  </si>
  <si>
    <t>4720704805</t>
  </si>
  <si>
    <t>908209577724</t>
  </si>
  <si>
    <t>Ceres Igrejas Novaes</t>
  </si>
  <si>
    <t>Cesar Souza Melo</t>
  </si>
  <si>
    <t>Fabricio Lago Gama</t>
  </si>
  <si>
    <t>Av. Epitácio Pessoa, 1816</t>
  </si>
  <si>
    <t>4492569843</t>
  </si>
  <si>
    <t>592653444038</t>
  </si>
  <si>
    <t>Beatriz Mello Lago</t>
  </si>
  <si>
    <t>Casemiro Barros Gama</t>
  </si>
  <si>
    <t>Cássia Ferreira Alves</t>
  </si>
  <si>
    <t>Av. Parque, 1745</t>
  </si>
  <si>
    <t>9925693236</t>
  </si>
  <si>
    <t>405747238355</t>
  </si>
  <si>
    <t>Renata Filgueiras Ferreira</t>
  </si>
  <si>
    <t>Igor Andrade Alves</t>
  </si>
  <si>
    <t>Edilson Soares Mesquita</t>
  </si>
  <si>
    <t>Av. Barão do Rio Branco, 3348</t>
  </si>
  <si>
    <t>0521782003</t>
  </si>
  <si>
    <t>989816316449</t>
  </si>
  <si>
    <t>Almerinda Leal Soares</t>
  </si>
  <si>
    <t>Jacinto Neto Mesquita</t>
  </si>
  <si>
    <t>Ivandro Casagrande Paiva</t>
  </si>
  <si>
    <t>Av. Dorival Cândido Luz de Oliveira, 3101</t>
  </si>
  <si>
    <t>9821836587</t>
  </si>
  <si>
    <t>110979683853</t>
  </si>
  <si>
    <t>Ana Giacomini Casagrande</t>
  </si>
  <si>
    <t>Jacinto Freitas Paiva</t>
  </si>
  <si>
    <t>Elton Castro Rocha</t>
  </si>
  <si>
    <t>Av. Dr. Yvens Cordeiro, 3637</t>
  </si>
  <si>
    <t>3646957775</t>
  </si>
  <si>
    <t>048056580516</t>
  </si>
  <si>
    <t>Cristina Campos Castro</t>
  </si>
  <si>
    <t>Alfredo Domingues Rocha</t>
  </si>
  <si>
    <t>Jeane Miranda Montenegro</t>
  </si>
  <si>
    <t>Av. Marcelino Pires, 1821</t>
  </si>
  <si>
    <t>4471220588</t>
  </si>
  <si>
    <t>263377327196</t>
  </si>
  <si>
    <t>Briana Gusmao Miranda</t>
  </si>
  <si>
    <t>Jayme Muniz Montenegro</t>
  </si>
  <si>
    <t>Candido Gama Palma</t>
  </si>
  <si>
    <t>Av. Cônego João Lima, 1100</t>
  </si>
  <si>
    <t>1123072109</t>
  </si>
  <si>
    <t>751896133024</t>
  </si>
  <si>
    <t>Carminha Xavier Gama</t>
  </si>
  <si>
    <t>Iomar Cintra Palma</t>
  </si>
  <si>
    <t>Breno Malta Camacho</t>
  </si>
  <si>
    <t>Av. Atlântica, 1962</t>
  </si>
  <si>
    <t>8308634427</t>
  </si>
  <si>
    <t>679513663890</t>
  </si>
  <si>
    <t>Frederica Lagos Malta</t>
  </si>
  <si>
    <t>Israel Frota Camacho</t>
  </si>
  <si>
    <t>Cristiane Maldonado Nobre</t>
  </si>
  <si>
    <t>Av. São Sebastião, 522</t>
  </si>
  <si>
    <t>8263515960</t>
  </si>
  <si>
    <t>920681649129</t>
  </si>
  <si>
    <t>Angela Melo Maldonado</t>
  </si>
  <si>
    <t>Jeronimo Assuncao Nobre</t>
  </si>
  <si>
    <t>Angelica Frota Carneiro</t>
  </si>
  <si>
    <t>Av. Ville Roy, 3148</t>
  </si>
  <si>
    <t>1712466238</t>
  </si>
  <si>
    <t>885174828777</t>
  </si>
  <si>
    <t>Cibele Lucena Frota</t>
  </si>
  <si>
    <t>Iomar Figueiredo Carneiro</t>
  </si>
  <si>
    <t>Cícera Garcez Morais</t>
  </si>
  <si>
    <t>Av. IV, 3873</t>
  </si>
  <si>
    <t>6707755130</t>
  </si>
  <si>
    <t>859128789652</t>
  </si>
  <si>
    <t>Angela Padilha Garcez</t>
  </si>
  <si>
    <t>Gilson Mendes Morais</t>
  </si>
  <si>
    <t>Eliseu Neto Naves</t>
  </si>
  <si>
    <t>Av. Governador Leonel Brizola, 3423</t>
  </si>
  <si>
    <t>2226515708</t>
  </si>
  <si>
    <t>914019448861</t>
  </si>
  <si>
    <t>Cordélia Novaes Neto</t>
  </si>
  <si>
    <t>Hermes Xavier Naves</t>
  </si>
  <si>
    <t>Ione Novaes Braga</t>
  </si>
  <si>
    <t>Av. Afonso Pena, 3764</t>
  </si>
  <si>
    <t>5531280988</t>
  </si>
  <si>
    <t>000463895316</t>
  </si>
  <si>
    <t>Patrícia Ortiz Novaes</t>
  </si>
  <si>
    <t>Amauri Pereira Braga</t>
  </si>
  <si>
    <t>Emerson Neto Barros</t>
  </si>
  <si>
    <t>Av. Parque, 2053</t>
  </si>
  <si>
    <t>4625701362</t>
  </si>
  <si>
    <t>451896353097</t>
  </si>
  <si>
    <t>Aurora Guerra Neto</t>
  </si>
  <si>
    <t>Benicio Filgueiras Barros</t>
  </si>
  <si>
    <t>Ineu Oliveira Garrido</t>
  </si>
  <si>
    <t>Av. Jorge Teixeira, 2612</t>
  </si>
  <si>
    <t>1771114947</t>
  </si>
  <si>
    <t>997157207446</t>
  </si>
  <si>
    <t>Maria Gusmao Oliveira</t>
  </si>
  <si>
    <t>Anderson Cardoso Garrido</t>
  </si>
  <si>
    <t>Cleusa Camargo Filgueiras</t>
  </si>
  <si>
    <t>Av. Izoraida Marques Peres, 2657</t>
  </si>
  <si>
    <t>2316913562</t>
  </si>
  <si>
    <t>467740423389</t>
  </si>
  <si>
    <t>Augusta Paranhos Camargo</t>
  </si>
  <si>
    <t>Carlos Aguiar Filgueiras</t>
  </si>
  <si>
    <t>Beto Lima Cabral</t>
  </si>
  <si>
    <t>Av. Guararapes, 205</t>
  </si>
  <si>
    <t>4843200326</t>
  </si>
  <si>
    <t>081347978408</t>
  </si>
  <si>
    <t>Carolina Igrejas Lima</t>
  </si>
  <si>
    <t>Ildo Molina Cabral</t>
  </si>
  <si>
    <t>Janice Bueno Gonzaga</t>
  </si>
  <si>
    <t>Av. Dr. Adhemar de Barros, 40</t>
  </si>
  <si>
    <t>8035547502</t>
  </si>
  <si>
    <t>565483383741</t>
  </si>
  <si>
    <t>Barbara Lourenco Bueno</t>
  </si>
  <si>
    <t>Dante Nascimento Gonzaga</t>
  </si>
  <si>
    <t>Aparecida Costa Cavalcante</t>
  </si>
  <si>
    <t>Av. Brasil, 2976</t>
  </si>
  <si>
    <t>3037828503</t>
  </si>
  <si>
    <t>829637699903</t>
  </si>
  <si>
    <t>Amara Rocha Costa</t>
  </si>
  <si>
    <t>Edilson Lagos Cavalcante</t>
  </si>
  <si>
    <t>Samuel Malta Gonzaga</t>
  </si>
  <si>
    <t>Av. Soares Lopes, 3535</t>
  </si>
  <si>
    <t>5339998281</t>
  </si>
  <si>
    <t>604062477215</t>
  </si>
  <si>
    <t>Daniele Padilha Malta</t>
  </si>
  <si>
    <t>Casemiro Macedo Gonzaga</t>
  </si>
  <si>
    <t>Flavio Caceres Barros</t>
  </si>
  <si>
    <t>Av. FEB, 3642</t>
  </si>
  <si>
    <t>5801740129</t>
  </si>
  <si>
    <t>566638228803</t>
  </si>
  <si>
    <t>Jaqueline Lemos Caceres</t>
  </si>
  <si>
    <t>Chico Almeida Barros</t>
  </si>
  <si>
    <t>Bernadete Barros Bello</t>
  </si>
  <si>
    <t>Av. Dom José, 3932</t>
  </si>
  <si>
    <t>0369088063</t>
  </si>
  <si>
    <t>191201332740</t>
  </si>
  <si>
    <t>Sandra Santos Barros</t>
  </si>
  <si>
    <t>Alencar Brito Bello</t>
  </si>
  <si>
    <t>Edvaldo Lago Mello</t>
  </si>
  <si>
    <t>Av. Brasil, 3759</t>
  </si>
  <si>
    <t>4537087255</t>
  </si>
  <si>
    <t>414340467758</t>
  </si>
  <si>
    <t>Carina Fonseca Lago</t>
  </si>
  <si>
    <t>Alvaro Passos Mello</t>
  </si>
  <si>
    <t>Isaura Carrasco Novaes</t>
  </si>
  <si>
    <t>Av. Nove de Julho, 740</t>
  </si>
  <si>
    <t>0584677847</t>
  </si>
  <si>
    <t>348378850037</t>
  </si>
  <si>
    <t>Francine Neto Carrasco</t>
  </si>
  <si>
    <t>Jamil Noronha Novaes</t>
  </si>
  <si>
    <t>Anastacia Brito Moraes</t>
  </si>
  <si>
    <t>Rua Tancredo Neves, 1371</t>
  </si>
  <si>
    <t>7293345342</t>
  </si>
  <si>
    <t>337259968096</t>
  </si>
  <si>
    <t>Candida Borges Brito</t>
  </si>
  <si>
    <t>Pedro Henriques Moraes</t>
  </si>
  <si>
    <t>Dora Leite Ortiz</t>
  </si>
  <si>
    <t>Rua Setembro, 3062</t>
  </si>
  <si>
    <t>5626510950</t>
  </si>
  <si>
    <t>413761345914</t>
  </si>
  <si>
    <t>Barbara Gonzaga Leite</t>
  </si>
  <si>
    <t>Alejandro Aranha Ortiz</t>
  </si>
  <si>
    <t>Mariana Henriques Belmonte</t>
  </si>
  <si>
    <t>Av. Ceará, 802</t>
  </si>
  <si>
    <t>4182612014</t>
  </si>
  <si>
    <t>069765928752</t>
  </si>
  <si>
    <t>Cilene Monteiro Henriques</t>
  </si>
  <si>
    <t>Inacio Andrade Belmonte</t>
  </si>
  <si>
    <t>Geovana Ribeiro Carneiro</t>
  </si>
  <si>
    <t>Av. Bucar Neto, 2165</t>
  </si>
  <si>
    <t>4648418463</t>
  </si>
  <si>
    <t>485641474024</t>
  </si>
  <si>
    <t>Irene Meneses Ribeiro</t>
  </si>
  <si>
    <t>Rodrigo Meireles Carneiro</t>
  </si>
  <si>
    <t>Bernardo Madureira Bueno</t>
  </si>
  <si>
    <t>Av. Brasil, 603</t>
  </si>
  <si>
    <t>5786033405</t>
  </si>
  <si>
    <t>709609400595</t>
  </si>
  <si>
    <t>Adriana Mesquita Madureira</t>
  </si>
  <si>
    <t>Cassiano Passos Bueno</t>
  </si>
  <si>
    <t>Alejandro Montenegro Madureira</t>
  </si>
  <si>
    <t>Av. Canal, 3927</t>
  </si>
  <si>
    <t>3248395666</t>
  </si>
  <si>
    <t>190064545001</t>
  </si>
  <si>
    <t>Emily Oliveira Montenegro</t>
  </si>
  <si>
    <t>Cassio Leite Madureira</t>
  </si>
  <si>
    <t>Dagmar Medeiros Ortiz</t>
  </si>
  <si>
    <t>Av. Ville Roy, 641</t>
  </si>
  <si>
    <t>7333334395</t>
  </si>
  <si>
    <t>417398935114</t>
  </si>
  <si>
    <t>Célia Gama Medeiros</t>
  </si>
  <si>
    <t>Alberto Melo Ortiz</t>
  </si>
  <si>
    <t>Djalma Cintra Garcez</t>
  </si>
  <si>
    <t>Av. Agamenon Magalhães, 1909</t>
  </si>
  <si>
    <t>8012733941</t>
  </si>
  <si>
    <t>021212921474</t>
  </si>
  <si>
    <t>Iris Meneses Cintra</t>
  </si>
  <si>
    <t>Djalma Baptista Garcez</t>
  </si>
  <si>
    <t>Benito Marcondes Souza</t>
  </si>
  <si>
    <t>Av. Presidente Kennedy, 236</t>
  </si>
  <si>
    <t>0667921916</t>
  </si>
  <si>
    <t>968421450834</t>
  </si>
  <si>
    <t>Carmem Giacomini Marcondes</t>
  </si>
  <si>
    <t>Jefferson Mangabeira Souza</t>
  </si>
  <si>
    <t>Fausto Rodrigues Carneiro</t>
  </si>
  <si>
    <t>Rua Setembro, 2886</t>
  </si>
  <si>
    <t>6520072802</t>
  </si>
  <si>
    <t>477657170262</t>
  </si>
  <si>
    <t>Amanda Alves Rodrigues</t>
  </si>
  <si>
    <t>Bruno Cantanhede Carneiro</t>
  </si>
  <si>
    <t>Diana Lago Machado</t>
  </si>
  <si>
    <t>Av. Brasil, 3229</t>
  </si>
  <si>
    <t>4309289938</t>
  </si>
  <si>
    <t>520051424594</t>
  </si>
  <si>
    <t>Carminha Ribeiro Lago</t>
  </si>
  <si>
    <t>Demétrio Bello Machado</t>
  </si>
  <si>
    <t>Fernando Lacerda Miranda</t>
  </si>
  <si>
    <t>Av. Amazonas, 240</t>
  </si>
  <si>
    <t>3269709796</t>
  </si>
  <si>
    <t>628356644934</t>
  </si>
  <si>
    <t>Iracema Cabral Lacerda</t>
  </si>
  <si>
    <t>Elias Camargo Miranda</t>
  </si>
  <si>
    <t>Diná Novaes Lins</t>
  </si>
  <si>
    <t>Av. Coletora A, 2788</t>
  </si>
  <si>
    <t>6283658724</t>
  </si>
  <si>
    <t>498266471158</t>
  </si>
  <si>
    <t>Edna Camargo Novaes</t>
  </si>
  <si>
    <t>Gelson Lourenco Lins</t>
  </si>
  <si>
    <t>Elias Rodrigues Mangabeira</t>
  </si>
  <si>
    <t>Av. Presidente Vargas, 3587</t>
  </si>
  <si>
    <t>4434969999</t>
  </si>
  <si>
    <t>972799169468</t>
  </si>
  <si>
    <t>Cordélia Nobre Rodrigues</t>
  </si>
  <si>
    <t>Amaro Carvalho Mangabeira</t>
  </si>
  <si>
    <t>Ariadina Lemos Melo</t>
  </si>
  <si>
    <t>Av. Rui Barbosa, 1981</t>
  </si>
  <si>
    <t>8742443398</t>
  </si>
  <si>
    <t>570363435976</t>
  </si>
  <si>
    <t>Guilhermina Cavalcante Lemos</t>
  </si>
  <si>
    <t>Leonardo Fraga Melo</t>
  </si>
  <si>
    <t>Filomena Rodrigues Moura</t>
  </si>
  <si>
    <t>Av. Parque, 389</t>
  </si>
  <si>
    <t>9918285886</t>
  </si>
  <si>
    <t>643203873407</t>
  </si>
  <si>
    <t>Diana Mangabeira Rodrigues</t>
  </si>
  <si>
    <t>Jesse Monteiro Moura</t>
  </si>
  <si>
    <t>Araci Furquim Casagrande</t>
  </si>
  <si>
    <t>Av. Governador Valadares, 2493</t>
  </si>
  <si>
    <t>5926057355</t>
  </si>
  <si>
    <t>330669531948</t>
  </si>
  <si>
    <t>Emília Lourdes Furquim</t>
  </si>
  <si>
    <t>Denis Laranjeira Casagrande</t>
  </si>
  <si>
    <t>Cristiane Faustino Morais</t>
  </si>
  <si>
    <t>Rodovia BR-316, 2841</t>
  </si>
  <si>
    <t>6498605851</t>
  </si>
  <si>
    <t>779893756819</t>
  </si>
  <si>
    <t>Eleonora Moreira Faustino</t>
  </si>
  <si>
    <t>Erasmo Teixeira Morais</t>
  </si>
  <si>
    <t>Samuel Oliveira Camacho</t>
  </si>
  <si>
    <t>Rua XV de Novembro, 1609</t>
  </si>
  <si>
    <t>5815335668</t>
  </si>
  <si>
    <t>498743918298</t>
  </si>
  <si>
    <t>Evelyn Galvao Oliveira</t>
  </si>
  <si>
    <t>Mateus Passos Camacho</t>
  </si>
  <si>
    <t>Isabelle Franco Pereira</t>
  </si>
  <si>
    <t>Av. Presidente Kennedy, 1881</t>
  </si>
  <si>
    <t>6028859512</t>
  </si>
  <si>
    <t>671322333831</t>
  </si>
  <si>
    <t>Chantal Garrido Franco</t>
  </si>
  <si>
    <t>Geremias Paiva Pereira</t>
  </si>
  <si>
    <t>Emily Matos Lucena</t>
  </si>
  <si>
    <t>Av. Copacabana, 1147</t>
  </si>
  <si>
    <t>3020603729</t>
  </si>
  <si>
    <t>350999637195</t>
  </si>
  <si>
    <t>Aura Jordao Matos</t>
  </si>
  <si>
    <t>Everton Mendes Lucena</t>
  </si>
  <si>
    <t>Arlene Fraga Nogueira</t>
  </si>
  <si>
    <t>Av. Historiador Rubens de Mendonça, 3464</t>
  </si>
  <si>
    <t>6719113059</t>
  </si>
  <si>
    <t>363183239398</t>
  </si>
  <si>
    <t>Anamaria Marques Fraga</t>
  </si>
  <si>
    <t>André Azevedo Nogueira</t>
  </si>
  <si>
    <t>Eleonora Garrido Braga</t>
  </si>
  <si>
    <t>Av. Alberto Maranhão, 150</t>
  </si>
  <si>
    <t>4789561025</t>
  </si>
  <si>
    <t>111905029535</t>
  </si>
  <si>
    <t>Diná Firmeza Garrido</t>
  </si>
  <si>
    <t>Erick Diniz Braga</t>
  </si>
  <si>
    <t>Anselmo Naves Moita</t>
  </si>
  <si>
    <t>Av. Goiás, 322</t>
  </si>
  <si>
    <t>8438801876</t>
  </si>
  <si>
    <t>162621852233</t>
  </si>
  <si>
    <t>Conceição Pamplona Naves</t>
  </si>
  <si>
    <t>Jean Avila Moita</t>
  </si>
  <si>
    <t>Delia Moraes Bernardes</t>
  </si>
  <si>
    <t>Av. Barão do Rio Branco, 746</t>
  </si>
  <si>
    <t>5279016685</t>
  </si>
  <si>
    <t>638789773241</t>
  </si>
  <si>
    <t>Júlia Fraga Moraes</t>
  </si>
  <si>
    <t>Edvaldo Faustino Bernardes</t>
  </si>
  <si>
    <t>Herculano Feitosa Figueiredo</t>
  </si>
  <si>
    <t>Av. Rui Barbosa, 2930</t>
  </si>
  <si>
    <t>4947912138</t>
  </si>
  <si>
    <t>468127709167</t>
  </si>
  <si>
    <t>Debora Paixao Feitosa</t>
  </si>
  <si>
    <t>Gian Caceres Figueiredo</t>
  </si>
  <si>
    <t>Inacio Geraldo Ortega</t>
  </si>
  <si>
    <t>Av. Afonso Pena, 778</t>
  </si>
  <si>
    <t>5904589716</t>
  </si>
  <si>
    <t>429520799155</t>
  </si>
  <si>
    <t>Cíntia Firmeza Geraldo</t>
  </si>
  <si>
    <t>Italo Gimenez Ortega</t>
  </si>
  <si>
    <t>Elaine Matos Cardoso</t>
  </si>
  <si>
    <t>Av. Santana, 3401</t>
  </si>
  <si>
    <t>9770393902</t>
  </si>
  <si>
    <t>750078365512</t>
  </si>
  <si>
    <t>Gabriela Cunha Matos</t>
  </si>
  <si>
    <t>Derick Carrasco Cardoso</t>
  </si>
  <si>
    <t>Cilene Ortega Naves</t>
  </si>
  <si>
    <t>Av. Goiás, 2879</t>
  </si>
  <si>
    <t>9205035269</t>
  </si>
  <si>
    <t>826425154634</t>
  </si>
  <si>
    <t>Carolina Magalhaes Ortega</t>
  </si>
  <si>
    <t>Cristiano Santos Naves</t>
  </si>
  <si>
    <t>Damaris Lousada Faria</t>
  </si>
  <si>
    <t>Av. Barão do Rio Branco, 76</t>
  </si>
  <si>
    <t>8220279904</t>
  </si>
  <si>
    <t>769937673806</t>
  </si>
  <si>
    <t>Briana Dantas Lousada</t>
  </si>
  <si>
    <t>Claudio Carvalho Faria</t>
  </si>
  <si>
    <t>Ricardo Moura Gusmao</t>
  </si>
  <si>
    <t>Av. Brasil, 1171</t>
  </si>
  <si>
    <t>3657527138</t>
  </si>
  <si>
    <t>126055133093</t>
  </si>
  <si>
    <t>Ariane Fagundes Moura</t>
  </si>
  <si>
    <t>Amaro Castello Gusmao</t>
  </si>
  <si>
    <t>Ariadina Bittencourt Dias</t>
  </si>
  <si>
    <t>Av. Dr. Yvens Cordeiro, 1483</t>
  </si>
  <si>
    <t>5646228950</t>
  </si>
  <si>
    <t>356534107045</t>
  </si>
  <si>
    <t>Amara Costa Bittencourt</t>
  </si>
  <si>
    <t>Biel Borges Dias</t>
  </si>
  <si>
    <t>Brigite Lourenco Ferreira</t>
  </si>
  <si>
    <t>Av. Barão do Rio Branco, 2216</t>
  </si>
  <si>
    <t>9623923500</t>
  </si>
  <si>
    <t>973771093431</t>
  </si>
  <si>
    <t>Aline Fraga Lourenco</t>
  </si>
  <si>
    <t>Demétrio Figueiredo Ferreira</t>
  </si>
  <si>
    <t>Larissa Assuncao Horta</t>
  </si>
  <si>
    <t>Av. Alfredo Nasser, 1772</t>
  </si>
  <si>
    <t>6198960134</t>
  </si>
  <si>
    <t>562305326990</t>
  </si>
  <si>
    <t>Aline Xavier Assuncao</t>
  </si>
  <si>
    <t>Dalmo Leite Horta</t>
  </si>
  <si>
    <t>Eliseu Casagrande Oliveira</t>
  </si>
  <si>
    <t>Av. Paulo de Frontin, 271</t>
  </si>
  <si>
    <t>7775988654</t>
  </si>
  <si>
    <t>293207795637</t>
  </si>
  <si>
    <t>Camila Pinto Casagrande</t>
  </si>
  <si>
    <t>Domingos Costa Oliveira</t>
  </si>
  <si>
    <t>Gabriel Camargo Delgado</t>
  </si>
  <si>
    <t>Av. Júlio de Castilhos, 1576</t>
  </si>
  <si>
    <t>7430113531</t>
  </si>
  <si>
    <t>962944310080</t>
  </si>
  <si>
    <t>Carla Campos Camargo</t>
  </si>
  <si>
    <t>Cesar Moraes Delgado</t>
  </si>
  <si>
    <t>Italo Espinosa Cintra</t>
  </si>
  <si>
    <t>Av. Brasil, 2746</t>
  </si>
  <si>
    <t>9376634748</t>
  </si>
  <si>
    <t>393575748424</t>
  </si>
  <si>
    <t>Aurora Vieira Espinosa</t>
  </si>
  <si>
    <t>Gabriel Mangabeira Cintra</t>
  </si>
  <si>
    <t>Gustavo Belmonte Batista</t>
  </si>
  <si>
    <t>Av. Guararapes, 359</t>
  </si>
  <si>
    <t>7772793115</t>
  </si>
  <si>
    <t>919311379663</t>
  </si>
  <si>
    <t>Amélia Freire Belmonte</t>
  </si>
  <si>
    <t>Gilson Melo Batista</t>
  </si>
  <si>
    <t>Fabiola Frota Bernardes</t>
  </si>
  <si>
    <t>Av. Coronel Martiniano, 1603</t>
  </si>
  <si>
    <t>5223094073</t>
  </si>
  <si>
    <t>205345462431</t>
  </si>
  <si>
    <t>Alexia Gimenez Frota</t>
  </si>
  <si>
    <t>Antonio Coimbra Bernardes</t>
  </si>
  <si>
    <t>Alfredo Evangelista Costa</t>
  </si>
  <si>
    <t>Av. Izoraida Marques Peres, 434</t>
  </si>
  <si>
    <t>2836225969</t>
  </si>
  <si>
    <t>793652013746</t>
  </si>
  <si>
    <t>Larissa Melo Evangelista</t>
  </si>
  <si>
    <t>Elias Coelho Costa</t>
  </si>
  <si>
    <t>João Meneses Aguiar</t>
  </si>
  <si>
    <t>Av. Presidente Vargas, 2443</t>
  </si>
  <si>
    <t>8009740723</t>
  </si>
  <si>
    <t>287293170182</t>
  </si>
  <si>
    <t>Alicia Moita Meneses</t>
  </si>
  <si>
    <t>João Xavier Aguiar</t>
  </si>
  <si>
    <t>Fausta Paschoal Lagos</t>
  </si>
  <si>
    <t>Av. Afonso Pena, 1028</t>
  </si>
  <si>
    <t>9028326416</t>
  </si>
  <si>
    <t>562849590346</t>
  </si>
  <si>
    <t>Ester Andrade Paschoal</t>
  </si>
  <si>
    <t>Cassiano Machado Lagos</t>
  </si>
  <si>
    <t>Dora Alves Meneses</t>
  </si>
  <si>
    <t>Av. Campo Grande, 2303</t>
  </si>
  <si>
    <t>9477487182</t>
  </si>
  <si>
    <t>597134087625</t>
  </si>
  <si>
    <t>Camila Monteiro Alves</t>
  </si>
  <si>
    <t>Israel Cunha Meneses</t>
  </si>
  <si>
    <t>Conceição Lozano Nobrega</t>
  </si>
  <si>
    <t>Av. Presidente Vargas, 607</t>
  </si>
  <si>
    <t>0071305320</t>
  </si>
  <si>
    <t>223532687295</t>
  </si>
  <si>
    <t>Renata Almeida Lozano</t>
  </si>
  <si>
    <t>Israel Morais Nobrega</t>
  </si>
  <si>
    <t>Renata Monteiro Batista</t>
  </si>
  <si>
    <t>Av. Guararapes, 3059</t>
  </si>
  <si>
    <t>6535427232</t>
  </si>
  <si>
    <t>813907710192</t>
  </si>
  <si>
    <t>Almerinda Frota Monteiro</t>
  </si>
  <si>
    <t>Arthur Nobrega Batista</t>
  </si>
  <si>
    <t>Dirce Miranda Carrasco</t>
  </si>
  <si>
    <t>Av. Coletora A, 3233</t>
  </si>
  <si>
    <t>0372941002</t>
  </si>
  <si>
    <t>778171472034</t>
  </si>
  <si>
    <t>Eleonora Passos Miranda</t>
  </si>
  <si>
    <t>Felix Leal Carrasco</t>
  </si>
  <si>
    <t>Fabiana Gentil Assis</t>
  </si>
  <si>
    <t>Av. Dom José, 2979</t>
  </si>
  <si>
    <t>0215281290</t>
  </si>
  <si>
    <t>749275818320</t>
  </si>
  <si>
    <t>Cleonice Costa Gentil</t>
  </si>
  <si>
    <t>Gilberto Caldas Assis</t>
  </si>
  <si>
    <t>Inacio Marcondes Naves</t>
  </si>
  <si>
    <t>Av. Bucar Neto, 792</t>
  </si>
  <si>
    <t>0289223629</t>
  </si>
  <si>
    <t>154301314392</t>
  </si>
  <si>
    <t>Eneida Ortega Marcondes</t>
  </si>
  <si>
    <t>Fred Godoy Naves</t>
  </si>
  <si>
    <t>Graça Muniz Galvao</t>
  </si>
  <si>
    <t>Av. Capitão Silvio, 1898</t>
  </si>
  <si>
    <t>6242676518</t>
  </si>
  <si>
    <t>651094432766</t>
  </si>
  <si>
    <t>Cecília Assis Muniz</t>
  </si>
  <si>
    <t>Heitor Marcondes Galvao</t>
  </si>
  <si>
    <t>Flavio Rodrigues Inacio</t>
  </si>
  <si>
    <t>Av. Júlio de Castilhos, 1389</t>
  </si>
  <si>
    <t>3487654298</t>
  </si>
  <si>
    <t>009777410566</t>
  </si>
  <si>
    <t>Eliana Paschoal Rodrigues</t>
  </si>
  <si>
    <t>Felix Junqueira Inacio</t>
  </si>
  <si>
    <t>Ester Casagrande Espinosa</t>
  </si>
  <si>
    <t>Av. Presidente Kennedy, 3476</t>
  </si>
  <si>
    <t>2895013180</t>
  </si>
  <si>
    <t>280586424934</t>
  </si>
  <si>
    <t>Edna Fernandes Casagrande</t>
  </si>
  <si>
    <t>Hermes Lourdes Espinosa</t>
  </si>
  <si>
    <t>Ingrid Junqueira Alves</t>
  </si>
  <si>
    <t>Av. Jorge Teixeira, 22</t>
  </si>
  <si>
    <t>4833374620</t>
  </si>
  <si>
    <t>004346484299</t>
  </si>
  <si>
    <t>Eva Fraga Junqueira</t>
  </si>
  <si>
    <t>Marcos Marinho Alves</t>
  </si>
  <si>
    <t>Bianca Fraga Lopes</t>
  </si>
  <si>
    <t>Av. Fernandes Lima, 69</t>
  </si>
  <si>
    <t>3217037561</t>
  </si>
  <si>
    <t>321437939095</t>
  </si>
  <si>
    <t>Glaucia Girao Fraga</t>
  </si>
  <si>
    <t>Bruce Delgado Lopes</t>
  </si>
  <si>
    <t>Jandir Horta Passos</t>
  </si>
  <si>
    <t>Av. Barão do Rio Branco, 2694</t>
  </si>
  <si>
    <t>2296597381</t>
  </si>
  <si>
    <t>518773955292</t>
  </si>
  <si>
    <t>Arlene Negrao Horta</t>
  </si>
  <si>
    <t>Gabriel Rodrigues Passos</t>
  </si>
  <si>
    <t>Alicia Moraes Luz</t>
  </si>
  <si>
    <t>Av. Governador Valadares, 2016</t>
  </si>
  <si>
    <t>1233109110</t>
  </si>
  <si>
    <t>038941014776</t>
  </si>
  <si>
    <t>Briana Jesus Moraes</t>
  </si>
  <si>
    <t>Thiago Meireles Luz</t>
  </si>
  <si>
    <t>Dalmo Cardoso Domingues</t>
  </si>
  <si>
    <t>Av. Santos Dumont, 2485</t>
  </si>
  <si>
    <t>4227929132</t>
  </si>
  <si>
    <t>712287711926</t>
  </si>
  <si>
    <t>Analu Gaspar Cardoso</t>
  </si>
  <si>
    <t>Jairo Lemos Domingues</t>
  </si>
  <si>
    <t>Douglas Noval Vieira</t>
  </si>
  <si>
    <t>Av. Ville Roy, 1450</t>
  </si>
  <si>
    <t>7330055898</t>
  </si>
  <si>
    <t>996116762729</t>
  </si>
  <si>
    <t>Guilhermina Filgueiras Noval</t>
  </si>
  <si>
    <t>Eduardo Guerra Vieira</t>
  </si>
  <si>
    <t>Inês Mendonca Figueiredo</t>
  </si>
  <si>
    <t>Av. Presidente Vargas, 438</t>
  </si>
  <si>
    <t>6823717576</t>
  </si>
  <si>
    <t>400887297256</t>
  </si>
  <si>
    <t>Glauce Inacio Mendonca</t>
  </si>
  <si>
    <t>Lucas Mata Figueiredo</t>
  </si>
  <si>
    <t>Galdino Pinto Mendes</t>
  </si>
  <si>
    <t>Av. Guilherme Schell, 2898</t>
  </si>
  <si>
    <t>0810739078</t>
  </si>
  <si>
    <t>088468211452</t>
  </si>
  <si>
    <t>Guiomar Aguiar Pinto</t>
  </si>
  <si>
    <t>Fausto Garcez Mendes</t>
  </si>
  <si>
    <t>Bruna Freitas Marinho</t>
  </si>
  <si>
    <t>Av. Cônego João Lima, 3787</t>
  </si>
  <si>
    <t>8660783240</t>
  </si>
  <si>
    <t>218064720854</t>
  </si>
  <si>
    <t>Alice Nobrega Freitas</t>
  </si>
  <si>
    <t>Clovis Aranha Marinho</t>
  </si>
  <si>
    <t>Dagoberto Nobrega Paschoal</t>
  </si>
  <si>
    <t>Av. Canal, 3527</t>
  </si>
  <si>
    <t>5279202123</t>
  </si>
  <si>
    <t>749727041861</t>
  </si>
  <si>
    <t>Anelise Cardoso Nobrega</t>
  </si>
  <si>
    <t>Edmilson Gonzaga Paschoal</t>
  </si>
  <si>
    <t>Geraldo Cintra Andrade</t>
  </si>
  <si>
    <t>Av. Caxangá, 3944</t>
  </si>
  <si>
    <t>2997676907</t>
  </si>
  <si>
    <t>188867883298</t>
  </si>
  <si>
    <t>Débora Jordao Cintra</t>
  </si>
  <si>
    <t>Ildo Marcondes Andrade</t>
  </si>
  <si>
    <t>Dafne Caldeira Braga</t>
  </si>
  <si>
    <t>Av. Jerônimo Monteiro, 1513</t>
  </si>
  <si>
    <t>5068908050</t>
  </si>
  <si>
    <t>880915421703</t>
  </si>
  <si>
    <t>Íris Melo Caldeira</t>
  </si>
  <si>
    <t>Thiago Campos Braga</t>
  </si>
  <si>
    <t>Eduardo Guimaraes Paes</t>
  </si>
  <si>
    <t>Av. Juracy Magalhães, 778</t>
  </si>
  <si>
    <t>4746647473</t>
  </si>
  <si>
    <t>683172282036</t>
  </si>
  <si>
    <t>Catarina Paiva Guimaraes</t>
  </si>
  <si>
    <t>Hermes Moura Paes</t>
  </si>
  <si>
    <t>Brunella Lemos Monforte</t>
  </si>
  <si>
    <t>Av. Afonso Pena, 1332</t>
  </si>
  <si>
    <t>3390717930</t>
  </si>
  <si>
    <t>039625732305</t>
  </si>
  <si>
    <t>Angelina Feitosa Lemos</t>
  </si>
  <si>
    <t>Ique Nobrega Monforte</t>
  </si>
  <si>
    <t>Cecília Macedo Gentil</t>
  </si>
  <si>
    <t>Av. Jorge Teixeira, 613</t>
  </si>
  <si>
    <t>6338201149</t>
  </si>
  <si>
    <t>391910565659</t>
  </si>
  <si>
    <t>Elisa Filgueiras Macedo</t>
  </si>
  <si>
    <t>Jaime Firmeza Gentil</t>
  </si>
  <si>
    <t>Cordélia Garcez Maldonado</t>
  </si>
  <si>
    <t>Av. Frei Serafim, 2085</t>
  </si>
  <si>
    <t>6917783181</t>
  </si>
  <si>
    <t>226408138119</t>
  </si>
  <si>
    <t>Augusta Fonseca Garcez</t>
  </si>
  <si>
    <t>Iuri Jardim Maldonado</t>
  </si>
  <si>
    <t>Juliana Aguiar Bernardes</t>
  </si>
  <si>
    <t>Av. Ville Roy, 2</t>
  </si>
  <si>
    <t>9359729074</t>
  </si>
  <si>
    <t>336960257002</t>
  </si>
  <si>
    <t>Erica Macedo Aguiar</t>
  </si>
  <si>
    <t>Anderson Batista Bernardes</t>
  </si>
  <si>
    <t>Bernardo Campos Padilha</t>
  </si>
  <si>
    <t>Rua Tancredo Neves, 2063</t>
  </si>
  <si>
    <t>6123705373</t>
  </si>
  <si>
    <t>268439289817</t>
  </si>
  <si>
    <t>Delia Maciel Campos</t>
  </si>
  <si>
    <t>Alejandro Molina Padilha</t>
  </si>
  <si>
    <t>Adriano Matos Paes</t>
  </si>
  <si>
    <t>Av. Bernardo Vieira de Melo, 3743</t>
  </si>
  <si>
    <t>6541338394</t>
  </si>
  <si>
    <t>112094029598</t>
  </si>
  <si>
    <t>Ingrid Faustino Matos</t>
  </si>
  <si>
    <t>Gilberto Furquim Paes</t>
  </si>
  <si>
    <t>Aida Dornelles Neto</t>
  </si>
  <si>
    <t>Av. Fernandes Lima, 3567</t>
  </si>
  <si>
    <t>8757379586</t>
  </si>
  <si>
    <t>272492288988</t>
  </si>
  <si>
    <t>Deise Borges Dornelles</t>
  </si>
  <si>
    <t>Charles Antunes Neto</t>
  </si>
  <si>
    <t>Helder Moreira Mendonca</t>
  </si>
  <si>
    <t>Av. Canal, 2372</t>
  </si>
  <si>
    <t>0191202503</t>
  </si>
  <si>
    <t>342839418035</t>
  </si>
  <si>
    <t>Graça Xavier Moreira</t>
  </si>
  <si>
    <t>Jader Lucena Mendonca</t>
  </si>
  <si>
    <t>Caciano Borges Palma</t>
  </si>
  <si>
    <t>Av. Marcelino Pires, 1154</t>
  </si>
  <si>
    <t>4170091483</t>
  </si>
  <si>
    <t>732439838959</t>
  </si>
  <si>
    <t>Jandira Pastore Borges</t>
  </si>
  <si>
    <t>Erick Freitas Palma</t>
  </si>
  <si>
    <t>Ineu Aguiar Lourenco</t>
  </si>
  <si>
    <t>Av. Nereu Ramos, 843</t>
  </si>
  <si>
    <t>3835577811</t>
  </si>
  <si>
    <t>580409351219</t>
  </si>
  <si>
    <t>Cora Cardoso Aguiar</t>
  </si>
  <si>
    <t>Gledson Moura Lourenco</t>
  </si>
  <si>
    <t>Fernandinho Mello Paiva</t>
  </si>
  <si>
    <t>Av. Barão do Rio Branco, 2640</t>
  </si>
  <si>
    <t>7561634394</t>
  </si>
  <si>
    <t>739241600777</t>
  </si>
  <si>
    <t>Carmem Melo Mello</t>
  </si>
  <si>
    <t>Hermes Gentil Paiva</t>
  </si>
  <si>
    <t>Jarbas Castro Delgado</t>
  </si>
  <si>
    <t>Av. Brasil, 3817</t>
  </si>
  <si>
    <t>6774934472</t>
  </si>
  <si>
    <t>213020055281</t>
  </si>
  <si>
    <t>Erica Esteves Castro</t>
  </si>
  <si>
    <t>Bento Meireles Delgado</t>
  </si>
  <si>
    <t>Ismael Meneses Cantanhede</t>
  </si>
  <si>
    <t>Av. Governador Valadares, 3369</t>
  </si>
  <si>
    <t>8133891820</t>
  </si>
  <si>
    <t>690023722302</t>
  </si>
  <si>
    <t>Berenice Azevedo Meneses</t>
  </si>
  <si>
    <t>Hortencio Fonseca Cantanhede</t>
  </si>
  <si>
    <t>Benito Gaspar Paes</t>
  </si>
  <si>
    <t>Av. Capitão Silvio, 2016</t>
  </si>
  <si>
    <t>7426932578</t>
  </si>
  <si>
    <t>771927070288</t>
  </si>
  <si>
    <t>Aida Lima Gaspar</t>
  </si>
  <si>
    <t>Anselmo Farias Paes</t>
  </si>
  <si>
    <t>Damaris Fernandes Leite</t>
  </si>
  <si>
    <t>Largo Dom Fernando Gomes, 2276</t>
  </si>
  <si>
    <t>6878753239</t>
  </si>
  <si>
    <t>386626986877</t>
  </si>
  <si>
    <t>Amélia Pinto Fernandes</t>
  </si>
  <si>
    <t>Dario Godoy Leite</t>
  </si>
  <si>
    <t>Amara Carrasco Avila</t>
  </si>
  <si>
    <t>Av. Fab, 1442</t>
  </si>
  <si>
    <t>4620842355</t>
  </si>
  <si>
    <t>365935450291</t>
  </si>
  <si>
    <t>Aurora Lourenco Carrasco</t>
  </si>
  <si>
    <t>Eliseu Gonzaga Avila</t>
  </si>
  <si>
    <t>Mariana Noronha Coelho</t>
  </si>
  <si>
    <t>Av. Brasil, 2590</t>
  </si>
  <si>
    <t>3082058293</t>
  </si>
  <si>
    <t>364192393089</t>
  </si>
  <si>
    <t>Dirce Carneiro Noronha</t>
  </si>
  <si>
    <t>Anselmo Jesus Coelho</t>
  </si>
  <si>
    <t>Aura Gentil Malta</t>
  </si>
  <si>
    <t>Via W3 Sul, 1560</t>
  </si>
  <si>
    <t>4720667789</t>
  </si>
  <si>
    <t>403188530387</t>
  </si>
  <si>
    <t>Clarice Barros Gentil</t>
  </si>
  <si>
    <t>Samuel Nobre Malta</t>
  </si>
  <si>
    <t>Conceição Inacio Nogueira</t>
  </si>
  <si>
    <t>Via W3 Sul, 2503</t>
  </si>
  <si>
    <t>5682536069</t>
  </si>
  <si>
    <t>639198643870</t>
  </si>
  <si>
    <t>Cilene Caldas Inacio</t>
  </si>
  <si>
    <t>Gisvaldo Girao Nogueira</t>
  </si>
  <si>
    <t>Casemiro Jesus Batista</t>
  </si>
  <si>
    <t>Av. Brigadeiro Everaldo Breves, 3798</t>
  </si>
  <si>
    <t>8536451328</t>
  </si>
  <si>
    <t>508562942246</t>
  </si>
  <si>
    <t>Evelyn Galvao Jesus</t>
  </si>
  <si>
    <t>Elias Mangabeira Batista</t>
  </si>
  <si>
    <t>Erico Bueno Ladeira</t>
  </si>
  <si>
    <t>Av. Ville Roy, 2267</t>
  </si>
  <si>
    <t>5150434563</t>
  </si>
  <si>
    <t>620242002119</t>
  </si>
  <si>
    <t>Agatha Delgado Bueno</t>
  </si>
  <si>
    <t>Jason Galvao Ladeira</t>
  </si>
  <si>
    <t>Arlene Almeida Moura</t>
  </si>
  <si>
    <t>Av. Copacabana, 1065</t>
  </si>
  <si>
    <t>5965045175</t>
  </si>
  <si>
    <t>928545247874</t>
  </si>
  <si>
    <t>Elisabete Mesquita Almeida</t>
  </si>
  <si>
    <t>André Meireles Moura</t>
  </si>
  <si>
    <t>Gabriela Novaes Ortiz</t>
  </si>
  <si>
    <t>Av. Amazonas, 2984</t>
  </si>
  <si>
    <t>3525611740</t>
  </si>
  <si>
    <t>616901563840</t>
  </si>
  <si>
    <t>Anamaria Teixeira Novaes</t>
  </si>
  <si>
    <t>Fabiano Miranda Ortiz</t>
  </si>
  <si>
    <t>Amara Assis Barbosa</t>
  </si>
  <si>
    <t>Largo Dom Fernando Gomes, 1277</t>
  </si>
  <si>
    <t>7661996014</t>
  </si>
  <si>
    <t>401416809403</t>
  </si>
  <si>
    <t>Janete Furquim Assis</t>
  </si>
  <si>
    <t>Hermes Casanova Barbosa</t>
  </si>
  <si>
    <t>Evelin Mendonca Goulart</t>
  </si>
  <si>
    <t>Av. Nereu Ramos, 2803</t>
  </si>
  <si>
    <t>8273168096</t>
  </si>
  <si>
    <t>170925585960</t>
  </si>
  <si>
    <t>Heloísa Pereira Mendonca</t>
  </si>
  <si>
    <t>Fernando Palhares Goulart</t>
  </si>
  <si>
    <t>Helio Miranda Maciel</t>
  </si>
  <si>
    <t>Rua Príncipe, 2071</t>
  </si>
  <si>
    <t>5837500892</t>
  </si>
  <si>
    <t>438537365848</t>
  </si>
  <si>
    <t>Ariela Henriques Miranda</t>
  </si>
  <si>
    <t>Euzebio Alves Maciel</t>
  </si>
  <si>
    <t>Carolina Paiva Igrejas</t>
  </si>
  <si>
    <t>Av. Juracy Magalhães, 2764</t>
  </si>
  <si>
    <t>2086615605</t>
  </si>
  <si>
    <t>361436684002</t>
  </si>
  <si>
    <t>Arlene Farias Paiva</t>
  </si>
  <si>
    <t>Adilson Caldeira Igrejas</t>
  </si>
  <si>
    <t>Domingos Horta Almeida</t>
  </si>
  <si>
    <t>Rua Coronel José Vicente, 2405</t>
  </si>
  <si>
    <t>0812153868</t>
  </si>
  <si>
    <t>084769462506</t>
  </si>
  <si>
    <t>Cleusa Rocha Horta</t>
  </si>
  <si>
    <t>Alejandro Melo Almeida</t>
  </si>
  <si>
    <t>Edmilson Gonzaga Almeida</t>
  </si>
  <si>
    <t>Av. Historiador Rubens de Mendonça, 1741</t>
  </si>
  <si>
    <t>7720230878</t>
  </si>
  <si>
    <t>073504194220</t>
  </si>
  <si>
    <t>Felícia Lagos Gonzaga</t>
  </si>
  <si>
    <t>Almir Cavalcante Almeida</t>
  </si>
  <si>
    <t>Daiana Guedes Padilha</t>
  </si>
  <si>
    <t>Av. Getúlio Vargas, 1474</t>
  </si>
  <si>
    <t>9419650174</t>
  </si>
  <si>
    <t>295347859989</t>
  </si>
  <si>
    <t>Aura Marinho Guedes</t>
  </si>
  <si>
    <t>Giovanni Muniz Padilha</t>
  </si>
  <si>
    <t>Helena Carneiro Marinho</t>
  </si>
  <si>
    <t>Av. Almirante Barroso, 131</t>
  </si>
  <si>
    <t>3960979740</t>
  </si>
  <si>
    <t>691089331205</t>
  </si>
  <si>
    <t>Anamaria Franco Carneiro</t>
  </si>
  <si>
    <t>Haroldo Barbosa Marinho</t>
  </si>
  <si>
    <t>Gaston Giacomini Pastore</t>
  </si>
  <si>
    <t>Av. Almirante Barroso, 3281</t>
  </si>
  <si>
    <t>6673325059</t>
  </si>
  <si>
    <t>185150272888</t>
  </si>
  <si>
    <t>Elba Carrasco Giacomini</t>
  </si>
  <si>
    <t>Dagoberto Ortiz Pastore</t>
  </si>
  <si>
    <t>Douglas Lagos Leal</t>
  </si>
  <si>
    <t>Av. Nereu Ramos, 2767</t>
  </si>
  <si>
    <t>2184039414</t>
  </si>
  <si>
    <t>359775263048</t>
  </si>
  <si>
    <t>Barbara Ortiz Lagos</t>
  </si>
  <si>
    <t>Gilson Xavier Leal</t>
  </si>
  <si>
    <t>Cleonice Frota Oliveira</t>
  </si>
  <si>
    <t>Av. Getúlio Vargas, 88</t>
  </si>
  <si>
    <t>8331795354</t>
  </si>
  <si>
    <t>543970152018</t>
  </si>
  <si>
    <t>Helena Marcondes Frota</t>
  </si>
  <si>
    <t>Angelo Maciel Oliveira</t>
  </si>
  <si>
    <t>Djalmir Mendes Paes</t>
  </si>
  <si>
    <t>Rua Tancredo Neves, 1457</t>
  </si>
  <si>
    <t>3801997911</t>
  </si>
  <si>
    <t>098184064526</t>
  </si>
  <si>
    <t>Antonia Antunes Mendes</t>
  </si>
  <si>
    <t>Aldo Casanova Paes</t>
  </si>
  <si>
    <t>Fausta Duarte Brito</t>
  </si>
  <si>
    <t>Av. Getúlio Vargas, 755</t>
  </si>
  <si>
    <t>6957441830</t>
  </si>
  <si>
    <t>887325649886</t>
  </si>
  <si>
    <t>Clarissa Andrade Duarte</t>
  </si>
  <si>
    <t>Claudio Fraga Brito</t>
  </si>
  <si>
    <t>Feliciano Feitosa Moraes</t>
  </si>
  <si>
    <t>Av. Senhor dos Passos, 267</t>
  </si>
  <si>
    <t>5172288020</t>
  </si>
  <si>
    <t>751364051045</t>
  </si>
  <si>
    <t>Cora Neves Feitosa</t>
  </si>
  <si>
    <t>Emanuel Monforte Moraes</t>
  </si>
  <si>
    <t>Guilherme Noronha Cordeiro</t>
  </si>
  <si>
    <t>Av. Ceará, 2747</t>
  </si>
  <si>
    <t>3593334721</t>
  </si>
  <si>
    <t>462586848466</t>
  </si>
  <si>
    <t>Gisela Montenegro Noronha</t>
  </si>
  <si>
    <t>Gustavo Holanda Cordeiro</t>
  </si>
  <si>
    <t>Everaldo Teixeira Ornellas</t>
  </si>
  <si>
    <t>Av. Governador Valadares, 2195</t>
  </si>
  <si>
    <t>4270680712</t>
  </si>
  <si>
    <t>075142408929</t>
  </si>
  <si>
    <t>Jaqueline Melo Teixeira</t>
  </si>
  <si>
    <t>Chico Figueira Ornellas</t>
  </si>
  <si>
    <t>Francisco Cavalcante Matos</t>
  </si>
  <si>
    <t>Rua Marechal Deodoro, 341</t>
  </si>
  <si>
    <t>3519166026</t>
  </si>
  <si>
    <t>399314516292</t>
  </si>
  <si>
    <t>Carolina Guerra Cavalcante</t>
  </si>
  <si>
    <t>Eliezer Evangelista Matos</t>
  </si>
  <si>
    <t>Breno Lemos Igrejas</t>
  </si>
  <si>
    <t>Av. Teotônio Segurado, 208</t>
  </si>
  <si>
    <t>5867874832</t>
  </si>
  <si>
    <t>799723934293</t>
  </si>
  <si>
    <t>Emily Bueno Lemos</t>
  </si>
  <si>
    <t>Cristiano Nascimento Igrejas</t>
  </si>
  <si>
    <t>Fausta Mendes Moreira</t>
  </si>
  <si>
    <t>Av. Campo Grande, 701</t>
  </si>
  <si>
    <t>8840529238</t>
  </si>
  <si>
    <t>497808037605</t>
  </si>
  <si>
    <t>Eveline Geraldo Mendes</t>
  </si>
  <si>
    <t>Edilson Oliveira Moreira</t>
  </si>
  <si>
    <t>Jasper Bernardes Cordeiro</t>
  </si>
  <si>
    <t>Av. Campo Grande, 121</t>
  </si>
  <si>
    <t>0233483082</t>
  </si>
  <si>
    <t>648795039554</t>
  </si>
  <si>
    <t>Geovana Ortega Bernardes</t>
  </si>
  <si>
    <t>João Meneses Cordeiro</t>
  </si>
  <si>
    <t>Beto Cantanhede Chaves</t>
  </si>
  <si>
    <t>Av. Brasil, 3213</t>
  </si>
  <si>
    <t>9263441914</t>
  </si>
  <si>
    <t>421947261270</t>
  </si>
  <si>
    <t>Sofia Xavier Cantanhede</t>
  </si>
  <si>
    <t>Edmar Barros Chaves</t>
  </si>
  <si>
    <t>Henrique Guimaraes Jordao</t>
  </si>
  <si>
    <t>Av. Fab, 3709</t>
  </si>
  <si>
    <t>2850984454</t>
  </si>
  <si>
    <t>125401181980</t>
  </si>
  <si>
    <t>Jane Molina Guimaraes</t>
  </si>
  <si>
    <t>Fausto Cabral Jordao</t>
  </si>
  <si>
    <t>Brunella Lemos Luz</t>
  </si>
  <si>
    <t>Av. VP-8, 1885</t>
  </si>
  <si>
    <t>5300039455</t>
  </si>
  <si>
    <t>369857281612</t>
  </si>
  <si>
    <t>Helena Pastrocinio Lemos</t>
  </si>
  <si>
    <t>Geremias Paes Luz</t>
  </si>
  <si>
    <t>Damaris Maldonado Lima</t>
  </si>
  <si>
    <t>Av. Nove de Julho, 454</t>
  </si>
  <si>
    <t>6886040658</t>
  </si>
  <si>
    <t>215317203744</t>
  </si>
  <si>
    <t>Eliane Cintra Maldonado</t>
  </si>
  <si>
    <t>Ismael Noval Lima</t>
  </si>
  <si>
    <t>Catarina Gama Giacomini</t>
  </si>
  <si>
    <t>Rua Moreira César, 3475</t>
  </si>
  <si>
    <t>2116323832</t>
  </si>
  <si>
    <t>786532689153</t>
  </si>
  <si>
    <t>Cilene Leite Gama</t>
  </si>
  <si>
    <t>Celso Casanova Giacomini</t>
  </si>
  <si>
    <t>Emanuela Gentil Esteves</t>
  </si>
  <si>
    <t>Av. Dante Michelini, 2313</t>
  </si>
  <si>
    <t>0239999702</t>
  </si>
  <si>
    <t>900433908953</t>
  </si>
  <si>
    <t>Cássia Igrejas Gentil</t>
  </si>
  <si>
    <t>Jefferson Cavalcante Esteves</t>
  </si>
  <si>
    <t>Jesse Fraga Lourenco</t>
  </si>
  <si>
    <t>Av. Copacabana, 3818</t>
  </si>
  <si>
    <t>9321533682</t>
  </si>
  <si>
    <t>658353522704</t>
  </si>
  <si>
    <t>Clarissa Freire Fraga</t>
  </si>
  <si>
    <t>Aldo Dornelles Lourenco</t>
  </si>
  <si>
    <t>Eloá Filgueiras Cunha</t>
  </si>
  <si>
    <t>Av. Brasil, 1068</t>
  </si>
  <si>
    <t>4147235695</t>
  </si>
  <si>
    <t>250477718529</t>
  </si>
  <si>
    <t>Júlia Caldas Filgueiras</t>
  </si>
  <si>
    <t>Jesse Lourdes Cunha</t>
  </si>
  <si>
    <t>Edvaldo Pastrocinio Fonseca</t>
  </si>
  <si>
    <t>Av. Juracy Magalhães, 3720</t>
  </si>
  <si>
    <t>5255317594</t>
  </si>
  <si>
    <t>924344293963</t>
  </si>
  <si>
    <t>Isadora Laranjeira Pastrocinio</t>
  </si>
  <si>
    <t>Caio Jardim Fonseca</t>
  </si>
  <si>
    <t>Flávia Carvalho Caldeira</t>
  </si>
  <si>
    <t>Av. Brigadeiro Everaldo Breves, 1789</t>
  </si>
  <si>
    <t>1425034220</t>
  </si>
  <si>
    <t>526686775205</t>
  </si>
  <si>
    <t>Ivete Baptista Carvalho</t>
  </si>
  <si>
    <t>Guilherme Lozano Caldeira</t>
  </si>
  <si>
    <t>Dora Farias Melo</t>
  </si>
  <si>
    <t>Av. Vicente Machado, 3275</t>
  </si>
  <si>
    <t>3500292476</t>
  </si>
  <si>
    <t>677278457238</t>
  </si>
  <si>
    <t>Amanda Brito Farias</t>
  </si>
  <si>
    <t>Feliciano Caldas Melo</t>
  </si>
  <si>
    <t>Isadora Cabral Cunha</t>
  </si>
  <si>
    <t>Av. Ceará, 1117</t>
  </si>
  <si>
    <t>5640959090</t>
  </si>
  <si>
    <t>101952109960</t>
  </si>
  <si>
    <t>Janice Nobre Cabral</t>
  </si>
  <si>
    <t>Fred Igrejas Cunha</t>
  </si>
  <si>
    <t>Flavio Noval Souza</t>
  </si>
  <si>
    <t>Rodovia BR-316, 1668</t>
  </si>
  <si>
    <t>5868201698</t>
  </si>
  <si>
    <t>500715684334</t>
  </si>
  <si>
    <t>Daiana Araujo Noval</t>
  </si>
  <si>
    <t>Rafael Meireles Souza</t>
  </si>
  <si>
    <t>Frederica Jesus Lacerda</t>
  </si>
  <si>
    <t>Av. Jerônimo Monteiro, 128</t>
  </si>
  <si>
    <t>8301994710</t>
  </si>
  <si>
    <t>675451559210</t>
  </si>
  <si>
    <t>Jaqueline Evangelista Jesus</t>
  </si>
  <si>
    <t>Cesar Figueiredo Lacerda</t>
  </si>
  <si>
    <t>Amara Machado Mata</t>
  </si>
  <si>
    <t>Av. Coletora A, 847</t>
  </si>
  <si>
    <t>1796210068</t>
  </si>
  <si>
    <t>281905836469</t>
  </si>
  <si>
    <t>Emília Domingues Machado</t>
  </si>
  <si>
    <t>Aldo Palhares Mata</t>
  </si>
  <si>
    <t>David Branco Barros</t>
  </si>
  <si>
    <t>Av. Campo Grande, 439</t>
  </si>
  <si>
    <t>4415664137</t>
  </si>
  <si>
    <t>672469001133</t>
  </si>
  <si>
    <t>Astrid Molina Branco</t>
  </si>
  <si>
    <t>Frederico Lourdes Barros</t>
  </si>
  <si>
    <t>Clarice Ortega Naves</t>
  </si>
  <si>
    <t>Av. Bucar Neto, 3801</t>
  </si>
  <si>
    <t>5926110391</t>
  </si>
  <si>
    <t>839303809807</t>
  </si>
  <si>
    <t>Iolanda Jesus Ortega</t>
  </si>
  <si>
    <t>Jamil Lacerda Naves</t>
  </si>
  <si>
    <t>Íris Cintra Geraldo</t>
  </si>
  <si>
    <t>Av. Santana, 2279</t>
  </si>
  <si>
    <t>6260187635</t>
  </si>
  <si>
    <t>449565303607</t>
  </si>
  <si>
    <t>Gabriela Magalhaes Cintra</t>
  </si>
  <si>
    <t>Helder Caldas Geraldo</t>
  </si>
  <si>
    <t>Carminha Godoy Firmeza</t>
  </si>
  <si>
    <t>Av. Jerônimo Monteiro, 1653</t>
  </si>
  <si>
    <t>7992997743</t>
  </si>
  <si>
    <t>711975970789</t>
  </si>
  <si>
    <t>Sofia Bello Godoy</t>
  </si>
  <si>
    <t>Ismael Teixeira Firmeza</t>
  </si>
  <si>
    <t>Baltazar Luz Aguiar</t>
  </si>
  <si>
    <t>Av. Historiador Rubens de Mendonça, 2844</t>
  </si>
  <si>
    <t>7766660145</t>
  </si>
  <si>
    <t>664910050338</t>
  </si>
  <si>
    <t>Jane Pastrocinio Luz</t>
  </si>
  <si>
    <t>Ismael Maciel Aguiar</t>
  </si>
  <si>
    <t>Eliseu Pereira Figueira</t>
  </si>
  <si>
    <t>Av. Antônio Trajano, 715</t>
  </si>
  <si>
    <t>0340250324</t>
  </si>
  <si>
    <t>282709173597</t>
  </si>
  <si>
    <t>Beatriz Bernardes Pereira</t>
  </si>
  <si>
    <t>Cris Fraga Figueira</t>
  </si>
  <si>
    <t>Anamaria Mascarenhas Nobre</t>
  </si>
  <si>
    <t>Av. Independência, 590</t>
  </si>
  <si>
    <t>1694314780</t>
  </si>
  <si>
    <t>368101348037</t>
  </si>
  <si>
    <t>Guilhermina Muniz Mascarenhas</t>
  </si>
  <si>
    <t>Francisco Ornellas Nobre</t>
  </si>
  <si>
    <t>Debora Firmeza Moura</t>
  </si>
  <si>
    <t>Av. Nove de Julho, 3245</t>
  </si>
  <si>
    <t>5246845714</t>
  </si>
  <si>
    <t>782764174163</t>
  </si>
  <si>
    <t>Jaqueline Gomes Firmeza</t>
  </si>
  <si>
    <t>Clovis Freitas Moura</t>
  </si>
  <si>
    <t>Camila Teixeira Brito</t>
  </si>
  <si>
    <t>Av. Nove de Julho, 3167</t>
  </si>
  <si>
    <t>2829312383</t>
  </si>
  <si>
    <t>120497830428</t>
  </si>
  <si>
    <t>Andrea Martins Teixeira</t>
  </si>
  <si>
    <t>João Andrade Brito</t>
  </si>
  <si>
    <t>Augusto Coimbra Dantas</t>
  </si>
  <si>
    <t>Av. Jerônimo Monteiro, 3944</t>
  </si>
  <si>
    <t>4418659819</t>
  </si>
  <si>
    <t>605981303703</t>
  </si>
  <si>
    <t>Graciela Ferreira Coimbra</t>
  </si>
  <si>
    <t>Biel Noronha Dantas</t>
  </si>
  <si>
    <t>Eleonora Caldeira Barreto</t>
  </si>
  <si>
    <t>Av. Amazonas, 1571</t>
  </si>
  <si>
    <t>1688913782</t>
  </si>
  <si>
    <t>181779376982</t>
  </si>
  <si>
    <t>Amanda Aranha Caldeira</t>
  </si>
  <si>
    <t>Guilherme Costa Barreto</t>
  </si>
  <si>
    <t>Gisvaldo Leite Martins</t>
  </si>
  <si>
    <t>Av. Alberto Maranhão, 1927</t>
  </si>
  <si>
    <t>8120530529</t>
  </si>
  <si>
    <t>548348560457</t>
  </si>
  <si>
    <t>Aurora Lemos Leite</t>
  </si>
  <si>
    <t>Carlos Borges Martins</t>
  </si>
  <si>
    <t>Cacilda Santos Aranha</t>
  </si>
  <si>
    <t>Av. Sete de Setembro, 516</t>
  </si>
  <si>
    <t>4288149652</t>
  </si>
  <si>
    <t>288997736166</t>
  </si>
  <si>
    <t>Celina Junqueira Santos</t>
  </si>
  <si>
    <t>Helio Caceres Aranha</t>
  </si>
  <si>
    <t>Francisco Pereira Nobrega</t>
  </si>
  <si>
    <t>Av. Copacabana, 703</t>
  </si>
  <si>
    <t>9228648544</t>
  </si>
  <si>
    <t>495977101878</t>
  </si>
  <si>
    <t>Chantal Branco Pereira</t>
  </si>
  <si>
    <t>Emanuel Mesquita Nobrega</t>
  </si>
  <si>
    <t>Francine Pamplona Miranda</t>
  </si>
  <si>
    <t>Av. Presidente Kennedy, 621</t>
  </si>
  <si>
    <t>3908371406</t>
  </si>
  <si>
    <t>985762065857</t>
  </si>
  <si>
    <t>Coralina Moraes Pamplona</t>
  </si>
  <si>
    <t>Ricardo Figueiredo Miranda</t>
  </si>
  <si>
    <t>Beto Ferreira Henriques</t>
  </si>
  <si>
    <t>Rua Setembro, 2048</t>
  </si>
  <si>
    <t>6290066034</t>
  </si>
  <si>
    <t>723922788067</t>
  </si>
  <si>
    <t>Izabel Figueiredo Ferreira</t>
  </si>
  <si>
    <t>Eduardo Miranda Henriques</t>
  </si>
  <si>
    <t>Ivete Giacomini Gusmao</t>
  </si>
  <si>
    <t>Av. Independência, 3810</t>
  </si>
  <si>
    <t>6267774817</t>
  </si>
  <si>
    <t>585026403483</t>
  </si>
  <si>
    <t>Eveline Xavier Giacomini</t>
  </si>
  <si>
    <t>Elias Caceres Gusmao</t>
  </si>
  <si>
    <t>Flavio Pacheco Xavier</t>
  </si>
  <si>
    <t>Av. Paulo de Frontin, 646</t>
  </si>
  <si>
    <t>1312162542</t>
  </si>
  <si>
    <t>533307937488</t>
  </si>
  <si>
    <t>Eulália Belmonte Pacheco</t>
  </si>
  <si>
    <t>Jeronimo Esteves Xavier</t>
  </si>
  <si>
    <t>Benjamin Cardoso Avila</t>
  </si>
  <si>
    <t>Av. Governador Leonel Brizola, 2285</t>
  </si>
  <si>
    <t>9474714520</t>
  </si>
  <si>
    <t>866196924569</t>
  </si>
  <si>
    <t>Fausta Maldonado Cardoso</t>
  </si>
  <si>
    <t>Gian Furquim Avila</t>
  </si>
  <si>
    <t>Almir Matos Bello</t>
  </si>
  <si>
    <t>Rua Coronel José Vicente, 3365</t>
  </si>
  <si>
    <t>1817891818</t>
  </si>
  <si>
    <t>374652091768</t>
  </si>
  <si>
    <t>Daniela Neves Matos</t>
  </si>
  <si>
    <t>Clovis Lozano Bello</t>
  </si>
  <si>
    <t>Evelyn Jordao Guimaraes</t>
  </si>
  <si>
    <t>Av. Barão do Rio Branco, 455</t>
  </si>
  <si>
    <t>3804117191</t>
  </si>
  <si>
    <t>031515777933</t>
  </si>
  <si>
    <t>Daniele Delgado Jordao</t>
  </si>
  <si>
    <t>Ernesto Dantas Guimaraes</t>
  </si>
  <si>
    <t>Alana Ladeira Pacheco</t>
  </si>
  <si>
    <t>Av. Frei Serafim, 2056</t>
  </si>
  <si>
    <t>7890887657</t>
  </si>
  <si>
    <t>170501160869</t>
  </si>
  <si>
    <t>Emília Inacio Ladeira</t>
  </si>
  <si>
    <t>Israel Cantanhede Pacheco</t>
  </si>
  <si>
    <t>Hermes Marcondes Luz</t>
  </si>
  <si>
    <t>Av. Santos Dumont, 190</t>
  </si>
  <si>
    <t>1070504970</t>
  </si>
  <si>
    <t>663001737571</t>
  </si>
  <si>
    <t>Jandira Inacio Marcondes</t>
  </si>
  <si>
    <t>Beto Cabral Luz</t>
  </si>
  <si>
    <t>Emilio Belmonte Castro</t>
  </si>
  <si>
    <t>Av. Amazonas, 3083</t>
  </si>
  <si>
    <t>6076703950</t>
  </si>
  <si>
    <t>911586925755</t>
  </si>
  <si>
    <t>Constança Morais Belmonte</t>
  </si>
  <si>
    <t>Cristovao Carvalho Castro</t>
  </si>
  <si>
    <t>Adilson Padilha Cintra</t>
  </si>
  <si>
    <t>Rua Setembro, 1923</t>
  </si>
  <si>
    <t>7583577262</t>
  </si>
  <si>
    <t>224068463253</t>
  </si>
  <si>
    <t>Cleusa Cunha Padilha</t>
  </si>
  <si>
    <t>Alfredo Coelho Cintra</t>
  </si>
  <si>
    <t>Denise Macedo Furquim</t>
  </si>
  <si>
    <t>Av. Júlio de Castilhos, 1013</t>
  </si>
  <si>
    <t>0655237194</t>
  </si>
  <si>
    <t>991900819447</t>
  </si>
  <si>
    <t>Gisela Andrade Macedo</t>
  </si>
  <si>
    <t>Angelo Galvao Furquim</t>
  </si>
  <si>
    <t>Fausto Caldas Camargo</t>
  </si>
  <si>
    <t>Av. Brasil, 1079</t>
  </si>
  <si>
    <t>2441171253</t>
  </si>
  <si>
    <t>162120253365</t>
  </si>
  <si>
    <t>Felícia Chaves Caldas</t>
  </si>
  <si>
    <t>Amauri Lopes Camargo</t>
  </si>
  <si>
    <t>Gisele Mascarenhas Moura</t>
  </si>
  <si>
    <t>Av. Amazonas, 3957</t>
  </si>
  <si>
    <t>4167557323</t>
  </si>
  <si>
    <t>415742805376</t>
  </si>
  <si>
    <t>Camila Franco Mascarenhas</t>
  </si>
  <si>
    <t>Bento Bittencourt Moura</t>
  </si>
  <si>
    <t>Ariane Holanda Mascarenhas</t>
  </si>
  <si>
    <t>Av. Loureiro da Silva, 1910</t>
  </si>
  <si>
    <t>2213276414</t>
  </si>
  <si>
    <t>633087120924</t>
  </si>
  <si>
    <t>Dora Fraga Holanda</t>
  </si>
  <si>
    <t>Angelo Galvao Mascarenhas</t>
  </si>
  <si>
    <t>Dora Almeida Lacerda</t>
  </si>
  <si>
    <t>Av. Getúlio Vargas, 864</t>
  </si>
  <si>
    <t>7287566265</t>
  </si>
  <si>
    <t>114635467772</t>
  </si>
  <si>
    <t>Daiana Faria Almeida</t>
  </si>
  <si>
    <t>Emilio Lima Cabral</t>
  </si>
  <si>
    <t>Av. Alfredo Nasser, 2817</t>
  </si>
  <si>
    <t>7361076956</t>
  </si>
  <si>
    <t>048317333535</t>
  </si>
  <si>
    <t>Fausta Evangelista Lima</t>
  </si>
  <si>
    <t>Hamilton Alves Cabral</t>
  </si>
  <si>
    <t>Diná Machado Cardoso</t>
  </si>
  <si>
    <t>Av. Deputado Esteves Rodrigues, 1478</t>
  </si>
  <si>
    <t>4498279545</t>
  </si>
  <si>
    <t>013053696627</t>
  </si>
  <si>
    <t>Gisela Paes Machado</t>
  </si>
  <si>
    <t>Dalmo Passos Cardoso</t>
  </si>
  <si>
    <t>Carolina Godoy Henriques</t>
  </si>
  <si>
    <t>Rua do Imperador, 1437</t>
  </si>
  <si>
    <t>7513204396</t>
  </si>
  <si>
    <t>678100313645</t>
  </si>
  <si>
    <t>Elisângela Pastrocinio Godoy</t>
  </si>
  <si>
    <t>Federico Noronha Henriques</t>
  </si>
  <si>
    <t>Estela Souza Feitosa</t>
  </si>
  <si>
    <t>Av. Rui Barbosa, 1708</t>
  </si>
  <si>
    <t>9918564612</t>
  </si>
  <si>
    <t>214673660352</t>
  </si>
  <si>
    <t>Eliane Brito Souza</t>
  </si>
  <si>
    <t>Jesse Holanda Feitosa</t>
  </si>
  <si>
    <t>Aparecida Pastore Figueiredo</t>
  </si>
  <si>
    <t>Av. Senhor dos Passos, 3806</t>
  </si>
  <si>
    <t>5404024464</t>
  </si>
  <si>
    <t>299125741328</t>
  </si>
  <si>
    <t>Renata Dias Pastore</t>
  </si>
  <si>
    <t>Aparicio Lousada Figueiredo</t>
  </si>
  <si>
    <t>Celina Caceres Avila</t>
  </si>
  <si>
    <t>Av. Fernandes Lima, 2395</t>
  </si>
  <si>
    <t>6322879441</t>
  </si>
  <si>
    <t>791421395698</t>
  </si>
  <si>
    <t>Aline Moraes Caceres</t>
  </si>
  <si>
    <t>Gilson Bittencourt Avila</t>
  </si>
  <si>
    <t>Renata Coelho Carrasco</t>
  </si>
  <si>
    <t>Rua Moreira César, 2822</t>
  </si>
  <si>
    <t>2836079798</t>
  </si>
  <si>
    <t>826302512043</t>
  </si>
  <si>
    <t>Gabriela Cardoso Coelho</t>
  </si>
  <si>
    <t>André Mata Carrasco</t>
  </si>
  <si>
    <t>Dafne Palma Muricy</t>
  </si>
  <si>
    <t>Av. Brasil, 358</t>
  </si>
  <si>
    <t>9992529964</t>
  </si>
  <si>
    <t>478937127567</t>
  </si>
  <si>
    <t>Jandira Cabral Palma</t>
  </si>
  <si>
    <t>Casemiro Lago Muricy</t>
  </si>
  <si>
    <t>Emanuela Freitas Muricy</t>
  </si>
  <si>
    <t>Av. Amazonas, 125</t>
  </si>
  <si>
    <t>7656626039</t>
  </si>
  <si>
    <t>225549253694</t>
  </si>
  <si>
    <t>Cora Aguiar Freitas</t>
  </si>
  <si>
    <t>Djalma Diniz Muricy</t>
  </si>
  <si>
    <t>Amaro Montenegro Franco</t>
  </si>
  <si>
    <t>Av. FEB, 2729</t>
  </si>
  <si>
    <t>4752251991</t>
  </si>
  <si>
    <t>662017085149</t>
  </si>
  <si>
    <t>Celina Caceres Montenegro</t>
  </si>
  <si>
    <t>Jarbas Leite Franco</t>
  </si>
  <si>
    <t>Heloisa Barros Giacomini</t>
  </si>
  <si>
    <t>Av. Governador Valadares, 2717</t>
  </si>
  <si>
    <t>6825075048</t>
  </si>
  <si>
    <t>062667863652</t>
  </si>
  <si>
    <t>Ione Rodrigues Barros</t>
  </si>
  <si>
    <t>Eliseu Padilha Giacomini</t>
  </si>
  <si>
    <t>Amélia Padilha Paschoal</t>
  </si>
  <si>
    <t>Av. Jerônimo Monteiro, 3031</t>
  </si>
  <si>
    <t>7785878935</t>
  </si>
  <si>
    <t>342285408590</t>
  </si>
  <si>
    <t>Jacira Branco Padilha</t>
  </si>
  <si>
    <t>Amaro Esteves Paschoal</t>
  </si>
  <si>
    <t>Isadora Nogueira Miranda</t>
  </si>
  <si>
    <t>Av. Cônego João Lima, 1850</t>
  </si>
  <si>
    <t>0116097297</t>
  </si>
  <si>
    <t>216283156621</t>
  </si>
  <si>
    <t>Eunice Baptista Nogueira</t>
  </si>
  <si>
    <t>Edvaldo Moita Miranda</t>
  </si>
  <si>
    <t>Jair Cabral Nobrega</t>
  </si>
  <si>
    <t>Av. Soares Lopes, 266</t>
  </si>
  <si>
    <t>1686480505</t>
  </si>
  <si>
    <t>808585534444</t>
  </si>
  <si>
    <t>Cordélia Costa Cabral</t>
  </si>
  <si>
    <t>Gelson Novaes Nobrega</t>
  </si>
  <si>
    <t>Gabriela Barros Pereira</t>
  </si>
  <si>
    <t>Av. Higienópolis, 2126</t>
  </si>
  <si>
    <t>3290467862</t>
  </si>
  <si>
    <t>623582082092</t>
  </si>
  <si>
    <t>Francisca Dias Barros</t>
  </si>
  <si>
    <t>Charles Montenegro Pereira</t>
  </si>
  <si>
    <t>Graziela Furquim Paixao</t>
  </si>
  <si>
    <t>Rua da Praia, 3782</t>
  </si>
  <si>
    <t>7993027482</t>
  </si>
  <si>
    <t>169355393149</t>
  </si>
  <si>
    <t>Alana Xavier Furquim</t>
  </si>
  <si>
    <t>Edilson Coimbra Paixao</t>
  </si>
  <si>
    <t>Januario Paiva Jordao</t>
  </si>
  <si>
    <t>Av. Parque, 1574</t>
  </si>
  <si>
    <t>8531611916</t>
  </si>
  <si>
    <t>246278182061</t>
  </si>
  <si>
    <t>Ana Garcez Paiva</t>
  </si>
  <si>
    <t>Gabriel Geraldo Jordao</t>
  </si>
  <si>
    <t>Glaucia Teixeira Domingues</t>
  </si>
  <si>
    <t>Rodovia BR-316, 3521</t>
  </si>
  <si>
    <t>2424376929</t>
  </si>
  <si>
    <t>177554088985</t>
  </si>
  <si>
    <t>Chantal Assuncao Teixeira</t>
  </si>
  <si>
    <t>Ernesto Delgado Domingues</t>
  </si>
  <si>
    <t>Cora Guimaraes Nobrega</t>
  </si>
  <si>
    <t>Largo Dom Fernando Gomes, 2501</t>
  </si>
  <si>
    <t>8000874415</t>
  </si>
  <si>
    <t>807240734896</t>
  </si>
  <si>
    <t>Dalva Caceres Guimaraes</t>
  </si>
  <si>
    <t>Jandir Girao Nobrega</t>
  </si>
  <si>
    <t>Pedro Nogueira Martins</t>
  </si>
  <si>
    <t>Av. Higienópolis, 1262</t>
  </si>
  <si>
    <t>3276647785</t>
  </si>
  <si>
    <t>668345225213</t>
  </si>
  <si>
    <t>Arlene Marques Nogueira</t>
  </si>
  <si>
    <t>Chico Jardim Martins</t>
  </si>
  <si>
    <t>Cacilda Moita Brito</t>
  </si>
  <si>
    <t>Av. Nove de Julho, 2928</t>
  </si>
  <si>
    <t>5058471277</t>
  </si>
  <si>
    <t>817671987992</t>
  </si>
  <si>
    <t>Inês Monteiro Moita</t>
  </si>
  <si>
    <t>Clovis Franco Brito</t>
  </si>
  <si>
    <t>Gaston Meireles Firmeza</t>
  </si>
  <si>
    <t>Rua Marechal Deodoro, 118</t>
  </si>
  <si>
    <t>2491228604</t>
  </si>
  <si>
    <t>432494137132</t>
  </si>
  <si>
    <t>Eveline Paranhos Meireles</t>
  </si>
  <si>
    <t>Eduardo Freitas Firmeza</t>
  </si>
  <si>
    <t>Graça Machado Gomes</t>
  </si>
  <si>
    <t>Rua XV de Novembro, 1899</t>
  </si>
  <si>
    <t>6059762193</t>
  </si>
  <si>
    <t>387980059961</t>
  </si>
  <si>
    <t>Eleonora Medeiros Machado</t>
  </si>
  <si>
    <t>Thiago Silva Gomes</t>
  </si>
  <si>
    <t>Maria Carneiro Laranjeira</t>
  </si>
  <si>
    <t>Av. Amazonas, 2972</t>
  </si>
  <si>
    <t>7633013758</t>
  </si>
  <si>
    <t>929880605014</t>
  </si>
  <si>
    <t>Ariadina Jordao Carneiro</t>
  </si>
  <si>
    <t>Francisco Madureira Laranjeira</t>
  </si>
  <si>
    <t>Igor Meireles Moura</t>
  </si>
  <si>
    <t>Av. Getúlio Vargas, 30</t>
  </si>
  <si>
    <t>9481260950</t>
  </si>
  <si>
    <t>498898411018</t>
  </si>
  <si>
    <t>Elisabete Monteiro Meireles</t>
  </si>
  <si>
    <t>Edmar Miranda Moura</t>
  </si>
  <si>
    <t>Elaine Meneses Lago</t>
  </si>
  <si>
    <t>Av. Cônego João Lima, 224</t>
  </si>
  <si>
    <t>0113651635</t>
  </si>
  <si>
    <t>373530615510</t>
  </si>
  <si>
    <t>Isabel Goulart Meneses</t>
  </si>
  <si>
    <t>Carlos Gaspar Lago</t>
  </si>
  <si>
    <t>Eneida Girao Moreira</t>
  </si>
  <si>
    <t>Av. Ville Roy, 2207</t>
  </si>
  <si>
    <t>7951216204</t>
  </si>
  <si>
    <t>676532454426</t>
  </si>
  <si>
    <t>Ivonete Garcez Girao</t>
  </si>
  <si>
    <t>Artur Cavalcante Moreira</t>
  </si>
  <si>
    <t>Heitor Diniz Camargo</t>
  </si>
  <si>
    <t>Via W3 Sul, 565</t>
  </si>
  <si>
    <t>1555567379</t>
  </si>
  <si>
    <t>287233207097</t>
  </si>
  <si>
    <t>Érika Assis Diniz</t>
  </si>
  <si>
    <t>Amadeu Nascimento Camargo</t>
  </si>
  <si>
    <t>Daniel Assuncao Franco</t>
  </si>
  <si>
    <t>Av. Higienópolis, 3373</t>
  </si>
  <si>
    <t>7031785997</t>
  </si>
  <si>
    <t>561460547237</t>
  </si>
  <si>
    <t>Renata Martins Assuncao</t>
  </si>
  <si>
    <t>Fred Brito Franco</t>
  </si>
  <si>
    <t>Juliana Cavalcante Mendes</t>
  </si>
  <si>
    <t>Av. Deputado Esteves Rodrigues, 3308</t>
  </si>
  <si>
    <t>3763006663</t>
  </si>
  <si>
    <t>010057757712</t>
  </si>
  <si>
    <t>Diná Medeiros Cavalcante</t>
  </si>
  <si>
    <t>Geraldo Barreto Mendes</t>
  </si>
  <si>
    <t>Filomena Dornelles Bueno</t>
  </si>
  <si>
    <t>Av. Governador Valadares, 3061</t>
  </si>
  <si>
    <t>3647697992</t>
  </si>
  <si>
    <t>233080895755</t>
  </si>
  <si>
    <t>Eulália Magalhaes Dornelles</t>
  </si>
  <si>
    <t>Beto Assuncao Bueno</t>
  </si>
  <si>
    <t>Emerson Gimenez Fagundes</t>
  </si>
  <si>
    <t>Av. Fernandes Lima, 684</t>
  </si>
  <si>
    <t>5434738777</t>
  </si>
  <si>
    <t>960552653276</t>
  </si>
  <si>
    <t>Anamaria Cunha Gimenez</t>
  </si>
  <si>
    <t>Gelson Mello Fagundes</t>
  </si>
  <si>
    <t>Dirce Jardim Cintra</t>
  </si>
  <si>
    <t>Av. Dr. Adhemar de Barros, 98</t>
  </si>
  <si>
    <t>1214589411</t>
  </si>
  <si>
    <t>219602561775</t>
  </si>
  <si>
    <t>Coralina Casagrande Jardim</t>
  </si>
  <si>
    <t>Leonardo Paschoal Cintra</t>
  </si>
  <si>
    <t>Andrea Azevedo Lucena</t>
  </si>
  <si>
    <t>Av. Beira Mar, 2845</t>
  </si>
  <si>
    <t>5532531230</t>
  </si>
  <si>
    <t>226375779290</t>
  </si>
  <si>
    <t>Anelise Pinto Azevedo</t>
  </si>
  <si>
    <t>Israel Muniz Lucena</t>
  </si>
  <si>
    <t>Eleonora Gentil Lozano</t>
  </si>
  <si>
    <t>Av. Fernando Afonso Collor de Mello, 536</t>
  </si>
  <si>
    <t>9835444601</t>
  </si>
  <si>
    <t>237347585415</t>
  </si>
  <si>
    <t>Glória Belmonte Gentil</t>
  </si>
  <si>
    <t>Geremias Delgado Lozano</t>
  </si>
  <si>
    <t>Heloisa Coelho Magalhaes</t>
  </si>
  <si>
    <t>Av. Amazonas, 3211</t>
  </si>
  <si>
    <t>2541631532</t>
  </si>
  <si>
    <t>838062902444</t>
  </si>
  <si>
    <t>Ivete Neves Coelho</t>
  </si>
  <si>
    <t>Helder Cordeiro Magalhaes</t>
  </si>
  <si>
    <t>Fernanda Paixao Guimaraes</t>
  </si>
  <si>
    <t>Av. Agamenon Magalhães, 498</t>
  </si>
  <si>
    <t>1853761431</t>
  </si>
  <si>
    <t>156335870908</t>
  </si>
  <si>
    <t>Erica Borges Paixao</t>
  </si>
  <si>
    <t>Fabiano Horta Guimaraes</t>
  </si>
  <si>
    <t>Aida Farias Lopes</t>
  </si>
  <si>
    <t>Rua Setembro, 3230</t>
  </si>
  <si>
    <t>4427925263</t>
  </si>
  <si>
    <t>822553369090</t>
  </si>
  <si>
    <t>Isabelle Negrao Farias</t>
  </si>
  <si>
    <t>Andrei Fraga Lopes</t>
  </si>
  <si>
    <t>Dario Baptista Cunha</t>
  </si>
  <si>
    <t>Av. João César de Oliveira, 1481</t>
  </si>
  <si>
    <t>3251313449</t>
  </si>
  <si>
    <t>399075155642</t>
  </si>
  <si>
    <t>Eliane Carvalho Baptista</t>
  </si>
  <si>
    <t>Eric Rodrigues Cunha</t>
  </si>
  <si>
    <t>Jefferson Firmeza Caldeira</t>
  </si>
  <si>
    <t>Av. Dom José, 579</t>
  </si>
  <si>
    <t>9100523052</t>
  </si>
  <si>
    <t>017574149951</t>
  </si>
  <si>
    <t>Emília Gama Firmeza</t>
  </si>
  <si>
    <t>Domingos Avila Caldeira</t>
  </si>
  <si>
    <t>Ana Evangelista Carrasco</t>
  </si>
  <si>
    <t>Av. Senhor dos Passos, 256</t>
  </si>
  <si>
    <t>6253018209</t>
  </si>
  <si>
    <t>486016390688</t>
  </si>
  <si>
    <t>Cloé Lemos Evangelista</t>
  </si>
  <si>
    <t>Alexandre Soares Carrasco</t>
  </si>
  <si>
    <t>Jeferson Pereira Brito</t>
  </si>
  <si>
    <t>Av. Presidente Vargas, 1801</t>
  </si>
  <si>
    <t>9485710195</t>
  </si>
  <si>
    <t>598270005555</t>
  </si>
  <si>
    <t>Adriana Fagundes Pereira</t>
  </si>
  <si>
    <t>Celso Nascimento Brito</t>
  </si>
  <si>
    <t>Pedro Lozano Silva</t>
  </si>
  <si>
    <t>Av. Frei Serafim, 2153</t>
  </si>
  <si>
    <t>4280852747</t>
  </si>
  <si>
    <t>249965863458</t>
  </si>
  <si>
    <t>Daiane Noronha Lozano</t>
  </si>
  <si>
    <t>Cassiano Neto Silva</t>
  </si>
  <si>
    <t>Beatriz Mascarenhas Garrido</t>
  </si>
  <si>
    <t>Av. Governador Valadares, 1123</t>
  </si>
  <si>
    <t>9495714084</t>
  </si>
  <si>
    <t>283919260787</t>
  </si>
  <si>
    <t>Celina Palhares Mascarenhas</t>
  </si>
  <si>
    <t>Hugo Cintra Garrido</t>
  </si>
  <si>
    <t>Ariela Moita Rodrigues</t>
  </si>
  <si>
    <t>Av. VP-8, 2273</t>
  </si>
  <si>
    <t>1260339916</t>
  </si>
  <si>
    <t>599769497901</t>
  </si>
  <si>
    <t>Augusta Matos Moita</t>
  </si>
  <si>
    <t>Estevao Magalhaes Rodrigues</t>
  </si>
  <si>
    <t>Chico Guimaraes Lima</t>
  </si>
  <si>
    <t>Av. Edson da Mota Correia, 1041</t>
  </si>
  <si>
    <t>7755209459</t>
  </si>
  <si>
    <t>080588981297</t>
  </si>
  <si>
    <t>Cássia Mascarenhas Guimaraes</t>
  </si>
  <si>
    <t>Lucas Casanova Lima</t>
  </si>
  <si>
    <t>Debora Pereira Carneiro</t>
  </si>
  <si>
    <t>Av. Alberto Maranhão, 1642</t>
  </si>
  <si>
    <t>8210917831</t>
  </si>
  <si>
    <t>996942510398</t>
  </si>
  <si>
    <t>Daiane Gouveia Pereira</t>
  </si>
  <si>
    <t>Cristovao Coelho Carneiro</t>
  </si>
  <si>
    <t>Edilson Chaves Gaspar</t>
  </si>
  <si>
    <t>Av. Jorge Teixeira, 1019</t>
  </si>
  <si>
    <t>9740995233</t>
  </si>
  <si>
    <t>394002220596</t>
  </si>
  <si>
    <t>Glaucia Luz Chaves</t>
  </si>
  <si>
    <t>Gledson Macedo Gaspar</t>
  </si>
  <si>
    <t>Ariela Geraldo Araujo</t>
  </si>
  <si>
    <t>Av. Edson da Mota Correia, 1363</t>
  </si>
  <si>
    <t>6671718317</t>
  </si>
  <si>
    <t>458643030201</t>
  </si>
  <si>
    <t>Amara Palma Geraldo</t>
  </si>
  <si>
    <t>Daniel Paiva Araujo</t>
  </si>
  <si>
    <t>Alice Santos Cardoso</t>
  </si>
  <si>
    <t>Av. Soares Lopes, 3431</t>
  </si>
  <si>
    <t>3889184291</t>
  </si>
  <si>
    <t>182748588889</t>
  </si>
  <si>
    <t>Elena Faria Santos</t>
  </si>
  <si>
    <t>Alan Guerra Cardoso</t>
  </si>
  <si>
    <t>Dulce Evangelista Paixao</t>
  </si>
  <si>
    <t>Rua Coronel José Vicente, 2569</t>
  </si>
  <si>
    <t>1520435419</t>
  </si>
  <si>
    <t>478053651772</t>
  </si>
  <si>
    <t>Isabelle Carneiro Evangelista</t>
  </si>
  <si>
    <t>Evandro Pacheco Paixao</t>
  </si>
  <si>
    <t>Gerson Pamplona Marques</t>
  </si>
  <si>
    <t>Av. VP-8, 888</t>
  </si>
  <si>
    <t>4932125802</t>
  </si>
  <si>
    <t>560328092809</t>
  </si>
  <si>
    <t>Dinorá Furquim Pamplona</t>
  </si>
  <si>
    <t>Henrique Lago Marques</t>
  </si>
  <si>
    <t>Emília Camargo Guerra</t>
  </si>
  <si>
    <t>Av. Deputado Esteves Rodrigues, 3729</t>
  </si>
  <si>
    <t>3584620350</t>
  </si>
  <si>
    <t>729147030677</t>
  </si>
  <si>
    <t>Isabel Coimbra Camargo</t>
  </si>
  <si>
    <t>Dario Almeida Guerra</t>
  </si>
  <si>
    <t>Iolanda Guerra Braga</t>
  </si>
  <si>
    <t>Av. Jorge Teixeira, 2736</t>
  </si>
  <si>
    <t>1376989576</t>
  </si>
  <si>
    <t>922436766737</t>
  </si>
  <si>
    <t>Mariana Assuncao Guerra</t>
  </si>
  <si>
    <t>Pedro Rodrigues Braga</t>
  </si>
  <si>
    <t>Jeferson Camacho Andrade</t>
  </si>
  <si>
    <t>Av. Santana, 1005</t>
  </si>
  <si>
    <t>9810394691</t>
  </si>
  <si>
    <t>743883823156</t>
  </si>
  <si>
    <t>Ivete Igrejas Camacho</t>
  </si>
  <si>
    <t>Augusto Gomes Andrade</t>
  </si>
  <si>
    <t>Jason Caceres Miranda</t>
  </si>
  <si>
    <t>Av. República do Líbano, 1750</t>
  </si>
  <si>
    <t>2185460241</t>
  </si>
  <si>
    <t>902129190901</t>
  </si>
  <si>
    <t>Carina Teixeira Caceres</t>
  </si>
  <si>
    <t>Anselmo Faustino Miranda</t>
  </si>
  <si>
    <t>Anderson Geraldo Moura</t>
  </si>
  <si>
    <t>Av. Historiador Rubens de Mendonça, 2943</t>
  </si>
  <si>
    <t>7486535678</t>
  </si>
  <si>
    <t>722363037664</t>
  </si>
  <si>
    <t>Cora Assis Geraldo</t>
  </si>
  <si>
    <t>Haroldo Souza Moura</t>
  </si>
  <si>
    <t>Cícera Lucena Gonzaga</t>
  </si>
  <si>
    <t>Av. Jerônimo Monteiro, 1655</t>
  </si>
  <si>
    <t>7906275610</t>
  </si>
  <si>
    <t>727354132256</t>
  </si>
  <si>
    <t>Camila Moraes Lucena</t>
  </si>
  <si>
    <t>Jayme Neto Gonzaga</t>
  </si>
  <si>
    <t>Jarbas Farias Marcondes</t>
  </si>
  <si>
    <t>Av. Marcelino Pires, 2470</t>
  </si>
  <si>
    <t>9240339313</t>
  </si>
  <si>
    <t>588732833195</t>
  </si>
  <si>
    <t>Guiomar Diniz Farias</t>
  </si>
  <si>
    <t>Ivanilson Fraga Marcondes</t>
  </si>
  <si>
    <t>Henrique Geraldo Ortega</t>
  </si>
  <si>
    <t>Av. Presidente Kennedy, 436</t>
  </si>
  <si>
    <t>6206468483</t>
  </si>
  <si>
    <t>010294390546</t>
  </si>
  <si>
    <t>Cícera Neto Geraldo</t>
  </si>
  <si>
    <t>Cassio Batista Ortega</t>
  </si>
  <si>
    <t>Fernandinho Montenegro Coelho</t>
  </si>
  <si>
    <t>Rua Príncipe, 285</t>
  </si>
  <si>
    <t>6826545264</t>
  </si>
  <si>
    <t>293650900627</t>
  </si>
  <si>
    <t>Fabiola Mascarenhas Montenegro</t>
  </si>
  <si>
    <t>Bento Horta Coelho</t>
  </si>
  <si>
    <t>Elisa Henriques Montenegro</t>
  </si>
  <si>
    <t>Av. Ceará, 230</t>
  </si>
  <si>
    <t>2059842146</t>
  </si>
  <si>
    <t>998794120125</t>
  </si>
  <si>
    <t>Andressa Morais Henriques</t>
  </si>
  <si>
    <t>Eneas Girao Montenegro</t>
  </si>
  <si>
    <t>Resposta</t>
  </si>
  <si>
    <t>Pergunta</t>
  </si>
  <si>
    <t>Rótulos de Linha</t>
  </si>
  <si>
    <t>Total Geral</t>
  </si>
  <si>
    <t>Mossoró-14</t>
  </si>
  <si>
    <t>Contagem de Profissão</t>
  </si>
  <si>
    <t>chef de cozinha,economista, jornalista e professor</t>
  </si>
  <si>
    <t>Desafio de Auditoria: 20 Perguntas Objetivas</t>
  </si>
  <si>
    <t>Faixa 1: Análise Populacional e Geográfica</t>
  </si>
  <si>
    <r>
      <t xml:space="preserve">1. Quantas pessoas da base residem no estado de </t>
    </r>
    <r>
      <rPr>
        <b/>
        <sz val="11"/>
        <color theme="1"/>
        <rFont val="Calibri"/>
        <family val="2"/>
        <scheme val="minor"/>
      </rPr>
      <t>São Paulo (SP)</t>
    </r>
    <r>
      <rPr>
        <sz val="11"/>
        <color theme="1"/>
        <rFont val="Calibri"/>
        <family val="2"/>
        <scheme val="minor"/>
      </rPr>
      <t>?</t>
    </r>
  </si>
  <si>
    <r>
      <t xml:space="preserve">2. Qual é o </t>
    </r>
    <r>
      <rPr>
        <b/>
        <sz val="11"/>
        <color theme="1"/>
        <rFont val="Calibri"/>
        <family val="2"/>
        <scheme val="minor"/>
      </rPr>
      <t>Município</t>
    </r>
    <r>
      <rPr>
        <sz val="11"/>
        <color theme="1"/>
        <rFont val="Calibri"/>
        <family val="2"/>
        <scheme val="minor"/>
      </rPr>
      <t xml:space="preserve"> que possui o maior número de registros na planilha?</t>
    </r>
  </si>
  <si>
    <r>
      <t xml:space="preserve">3. Quantos registros pertencem à região </t>
    </r>
    <r>
      <rPr>
        <b/>
        <sz val="11"/>
        <color theme="1"/>
        <rFont val="Calibri"/>
        <family val="2"/>
        <scheme val="minor"/>
      </rPr>
      <t>Nordeste</t>
    </r>
    <r>
      <rPr>
        <sz val="11"/>
        <color theme="1"/>
        <rFont val="Calibri"/>
        <family val="2"/>
        <scheme val="minor"/>
      </rPr>
      <t xml:space="preserve"> (estados: AL, BA, CE, MA, PB, PE, PI, RN, SE)?</t>
    </r>
  </si>
  <si>
    <r>
      <t xml:space="preserve">4. Quantas pessoas moram em avenidas (ou seja, o campo Endereço começa com </t>
    </r>
    <r>
      <rPr>
        <b/>
        <sz val="11"/>
        <color theme="1"/>
        <rFont val="Calibri"/>
        <family val="2"/>
        <scheme val="minor"/>
      </rPr>
      <t>"Av."</t>
    </r>
    <r>
      <rPr>
        <sz val="11"/>
        <color theme="1"/>
        <rFont val="Calibri"/>
        <family val="2"/>
        <scheme val="minor"/>
      </rPr>
      <t>)?</t>
    </r>
  </si>
  <si>
    <t>Faixa 2: Idade e Demografia</t>
  </si>
  <si>
    <r>
      <t xml:space="preserve">5. Qual é a </t>
    </r>
    <r>
      <rPr>
        <b/>
        <sz val="11"/>
        <color theme="1"/>
        <rFont val="Calibri"/>
        <family val="2"/>
        <scheme val="minor"/>
      </rPr>
      <t>idade média</t>
    </r>
    <r>
      <rPr>
        <sz val="11"/>
        <color theme="1"/>
        <rFont val="Calibri"/>
        <family val="2"/>
        <scheme val="minor"/>
      </rPr>
      <t xml:space="preserve"> (arredondada para uma casa decimal) de todas as pessoas da base de dados?</t>
    </r>
  </si>
  <si>
    <r>
      <t xml:space="preserve">6. Quantas pessoas têm exatamente </t>
    </r>
    <r>
      <rPr>
        <b/>
        <sz val="11"/>
        <color theme="1"/>
        <rFont val="Calibri"/>
        <family val="2"/>
        <scheme val="minor"/>
      </rPr>
      <t>18 anos</t>
    </r>
    <r>
      <rPr>
        <sz val="11"/>
        <color theme="1"/>
        <rFont val="Calibri"/>
        <family val="2"/>
        <scheme val="minor"/>
      </rPr>
      <t>?</t>
    </r>
  </si>
  <si>
    <r>
      <t xml:space="preserve">7. Quantas pessoas têm </t>
    </r>
    <r>
      <rPr>
        <b/>
        <sz val="11"/>
        <color theme="1"/>
        <rFont val="Calibri"/>
        <family val="2"/>
        <scheme val="minor"/>
      </rPr>
      <t>mais de 50 anos</t>
    </r>
    <r>
      <rPr>
        <sz val="11"/>
        <color theme="1"/>
        <rFont val="Calibri"/>
        <family val="2"/>
        <scheme val="minor"/>
      </rPr>
      <t xml:space="preserve"> (idade &gt; 50)?</t>
    </r>
  </si>
  <si>
    <r>
      <t xml:space="preserve">8. Quantas pessoas nasceram no ano de </t>
    </r>
    <r>
      <rPr>
        <b/>
        <sz val="11"/>
        <color theme="1"/>
        <rFont val="Calibri"/>
        <family val="2"/>
        <scheme val="minor"/>
      </rPr>
      <t>1990</t>
    </r>
    <r>
      <rPr>
        <sz val="11"/>
        <color theme="1"/>
        <rFont val="Calibri"/>
        <family val="2"/>
        <scheme val="minor"/>
      </rPr>
      <t>?</t>
    </r>
  </si>
  <si>
    <t>Faixa 3: Estado Civil e Etnia</t>
  </si>
  <si>
    <r>
      <t xml:space="preserve">9. Quantas pessoas têm o Estado Civil como </t>
    </r>
    <r>
      <rPr>
        <b/>
        <sz val="11"/>
        <color theme="1"/>
        <rFont val="Calibri"/>
        <family val="2"/>
        <scheme val="minor"/>
      </rPr>
      <t>"Casado(a)"</t>
    </r>
    <r>
      <rPr>
        <sz val="11"/>
        <color theme="1"/>
        <rFont val="Calibri"/>
        <family val="2"/>
        <scheme val="minor"/>
      </rPr>
      <t>?</t>
    </r>
  </si>
  <si>
    <r>
      <t xml:space="preserve">10. Quantas pessoas se declararam da etnia </t>
    </r>
    <r>
      <rPr>
        <b/>
        <sz val="11"/>
        <color theme="1"/>
        <rFont val="Calibri"/>
        <family val="2"/>
        <scheme val="minor"/>
      </rPr>
      <t>"Indígena"</t>
    </r>
    <r>
      <rPr>
        <sz val="11"/>
        <color theme="1"/>
        <rFont val="Calibri"/>
        <family val="2"/>
        <scheme val="minor"/>
      </rPr>
      <t>?</t>
    </r>
  </si>
  <si>
    <r>
      <t xml:space="preserve">11. Quantas pessoas são </t>
    </r>
    <r>
      <rPr>
        <b/>
        <sz val="11"/>
        <color theme="1"/>
        <rFont val="Calibri"/>
        <family val="2"/>
        <scheme val="minor"/>
      </rPr>
      <t>Solteiras</t>
    </r>
    <r>
      <rPr>
        <sz val="11"/>
        <color theme="1"/>
        <rFont val="Calibri"/>
        <family val="2"/>
        <scheme val="minor"/>
      </rPr>
      <t xml:space="preserve"> E da etnia </t>
    </r>
    <r>
      <rPr>
        <b/>
        <sz val="11"/>
        <color theme="1"/>
        <rFont val="Calibri"/>
        <family val="2"/>
        <scheme val="minor"/>
      </rPr>
      <t>Branca</t>
    </r>
    <r>
      <rPr>
        <sz val="11"/>
        <color theme="1"/>
        <rFont val="Calibri"/>
        <family val="2"/>
        <scheme val="minor"/>
      </rPr>
      <t xml:space="preserve"> ao mesmo tempo?</t>
    </r>
  </si>
  <si>
    <r>
      <t xml:space="preserve">12. Qual é a </t>
    </r>
    <r>
      <rPr>
        <b/>
        <sz val="11"/>
        <color theme="1"/>
        <rFont val="Calibri"/>
        <family val="2"/>
        <scheme val="minor"/>
      </rPr>
      <t>Profissão</t>
    </r>
    <r>
      <rPr>
        <sz val="11"/>
        <color theme="1"/>
        <rFont val="Calibri"/>
        <family val="2"/>
        <scheme val="minor"/>
      </rPr>
      <t xml:space="preserve"> mais frequente entre as pessoas que são </t>
    </r>
    <r>
      <rPr>
        <b/>
        <sz val="11"/>
        <color theme="1"/>
        <rFont val="Calibri"/>
        <family val="2"/>
        <scheme val="minor"/>
      </rPr>
      <t>Divorciadas</t>
    </r>
    <r>
      <rPr>
        <sz val="11"/>
        <color theme="1"/>
        <rFont val="Calibri"/>
        <family val="2"/>
        <scheme val="minor"/>
      </rPr>
      <t>?</t>
    </r>
  </si>
  <si>
    <t>Faixa 4: Análise Fina de Filhos e Previdência (A grande calibração)</t>
  </si>
  <si>
    <r>
      <t xml:space="preserve">13. No total, quantas pessoas responderam </t>
    </r>
    <r>
      <rPr>
        <b/>
        <sz val="11"/>
        <color theme="1"/>
        <rFont val="Calibri"/>
        <family val="2"/>
        <scheme val="minor"/>
      </rPr>
      <t>"Não"</t>
    </r>
    <r>
      <rPr>
        <sz val="11"/>
        <color theme="1"/>
        <rFont val="Calibri"/>
        <family val="2"/>
        <scheme val="minor"/>
      </rPr>
      <t xml:space="preserve"> no campo "Possui Filhos?"?</t>
    </r>
  </si>
  <si>
    <r>
      <t xml:space="preserve">14. Qual é a </t>
    </r>
    <r>
      <rPr>
        <b/>
        <sz val="11"/>
        <color theme="1"/>
        <rFont val="Calibri"/>
        <family val="2"/>
        <scheme val="minor"/>
      </rPr>
      <t>soma total de filhos</t>
    </r>
    <r>
      <rPr>
        <sz val="11"/>
        <color theme="1"/>
        <rFont val="Calibri"/>
        <family val="2"/>
        <scheme val="minor"/>
      </rPr>
      <t xml:space="preserve"> de todas as 738 pessoas da base?</t>
    </r>
  </si>
  <si>
    <r>
      <t xml:space="preserve">15. Quantas pessoas têm </t>
    </r>
    <r>
      <rPr>
        <b/>
        <sz val="11"/>
        <color theme="1"/>
        <rFont val="Calibri"/>
        <family val="2"/>
        <scheme val="minor"/>
      </rPr>
      <t>apenas 1 filho</t>
    </r>
    <r>
      <rPr>
        <sz val="11"/>
        <color theme="1"/>
        <rFont val="Calibri"/>
        <family val="2"/>
        <scheme val="minor"/>
      </rPr>
      <t>?</t>
    </r>
  </si>
  <si>
    <r>
      <t xml:space="preserve">16. Quantas famílias se enquadram na faixa que definimos como </t>
    </r>
    <r>
      <rPr>
        <i/>
        <sz val="11"/>
        <color theme="1"/>
        <rFont val="Calibri"/>
        <family val="2"/>
        <scheme val="minor"/>
      </rPr>
      <t>baixíssima probabilidade</t>
    </r>
    <r>
      <rPr>
        <sz val="11"/>
        <color theme="1"/>
        <rFont val="Calibri"/>
        <family val="2"/>
        <scheme val="minor"/>
      </rPr>
      <t xml:space="preserve"> (entre </t>
    </r>
    <r>
      <rPr>
        <b/>
        <sz val="11"/>
        <color theme="1"/>
        <rFont val="Calibri"/>
        <family val="2"/>
        <scheme val="minor"/>
      </rPr>
      <t>4 e 7 filhos</t>
    </r>
    <r>
      <rPr>
        <sz val="11"/>
        <color theme="1"/>
        <rFont val="Calibri"/>
        <family val="2"/>
        <scheme val="minor"/>
      </rPr>
      <t>)?</t>
    </r>
  </si>
  <si>
    <r>
      <t xml:space="preserve">17. Quantas famílias superaram as expectativas e entraram na faixa </t>
    </r>
    <r>
      <rPr>
        <i/>
        <sz val="11"/>
        <color theme="1"/>
        <rFont val="Calibri"/>
        <family val="2"/>
        <scheme val="minor"/>
      </rPr>
      <t>raríssima</t>
    </r>
    <r>
      <rPr>
        <sz val="11"/>
        <color theme="1"/>
        <rFont val="Calibri"/>
        <family val="2"/>
        <scheme val="minor"/>
      </rPr>
      <t xml:space="preserve"> (entre </t>
    </r>
    <r>
      <rPr>
        <b/>
        <sz val="11"/>
        <color theme="1"/>
        <rFont val="Calibri"/>
        <family val="2"/>
        <scheme val="minor"/>
      </rPr>
      <t>8 e 15 filhos</t>
    </r>
    <r>
      <rPr>
        <sz val="11"/>
        <color theme="1"/>
        <rFont val="Calibri"/>
        <family val="2"/>
        <scheme val="minor"/>
      </rPr>
      <t>)?</t>
    </r>
  </si>
  <si>
    <r>
      <t xml:space="preserve">18. Qual é o </t>
    </r>
    <r>
      <rPr>
        <b/>
        <sz val="11"/>
        <color theme="1"/>
        <rFont val="Calibri"/>
        <family val="2"/>
        <scheme val="minor"/>
      </rPr>
      <t>maior número de filhos</t>
    </r>
    <r>
      <rPr>
        <sz val="11"/>
        <color theme="1"/>
        <rFont val="Calibri"/>
        <family val="2"/>
        <scheme val="minor"/>
      </rPr>
      <t xml:space="preserve"> registrado para uma única pessoa nesta base?</t>
    </r>
  </si>
  <si>
    <t>Faixa 5: Auditoria de Fórmulas de Texto</t>
  </si>
  <si>
    <r>
      <t xml:space="preserve">19. Quantas mães possuem o sobrenome </t>
    </r>
    <r>
      <rPr>
        <b/>
        <sz val="11"/>
        <color theme="1"/>
        <rFont val="Calibri"/>
        <family val="2"/>
        <scheme val="minor"/>
      </rPr>
      <t>"Silva"</t>
    </r>
    <r>
      <rPr>
        <sz val="11"/>
        <color theme="1"/>
        <rFont val="Calibri"/>
        <family val="2"/>
        <scheme val="minor"/>
      </rPr>
      <t xml:space="preserve"> no final do seu nome completo?</t>
    </r>
  </si>
  <si>
    <r>
      <t xml:space="preserve">20. Quantos pais possuem a profissão de </t>
    </r>
    <r>
      <rPr>
        <b/>
        <sz val="11"/>
        <color theme="1"/>
        <rFont val="Calibri"/>
        <family val="2"/>
        <scheme val="minor"/>
      </rPr>
      <t>"Advogado"</t>
    </r>
    <r>
      <rPr>
        <sz val="11"/>
        <color theme="1"/>
        <rFont val="Calibri"/>
        <family val="2"/>
        <scheme val="minor"/>
      </rPr>
      <t>?</t>
    </r>
  </si>
  <si>
    <t>moda</t>
  </si>
  <si>
    <t>nome município</t>
  </si>
  <si>
    <t>correspondencia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</si>
</sst>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4">
    <dxf>
      <numFmt numFmtId="30" formatCode="@"/>
    </dxf>
    <dxf>
      <numFmt numFmtId="30" formatCode="@"/>
    </dxf>
    <dxf>
      <numFmt numFmtId="30" formatCode="@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Fiuza" refreshedDate="46179.487554050924" createdVersion="7" refreshedVersion="7" minRefreshableVersion="3" recordCount="738" xr:uid="{F56D1242-CCD7-4A3A-920D-B3481350F720}">
  <cacheSource type="worksheet">
    <worksheetSource name="Tabela1"/>
  </cacheSource>
  <cacheFields count="17">
    <cacheField name="ID" numFmtId="0">
      <sharedItems containsSemiMixedTypes="0" containsString="0" containsNumber="1" containsInteger="1" minValue="1" maxValue="738"/>
    </cacheField>
    <cacheField name="Nome Completo" numFmtId="0">
      <sharedItems/>
    </cacheField>
    <cacheField name="Data Nasc." numFmtId="14">
      <sharedItems containsSemiMixedTypes="0" containsNonDate="0" containsDate="1" containsString="0" minDate="1961-01-17T00:00:00" maxDate="2008-12-18T00:00:00"/>
    </cacheField>
    <cacheField name="Idade" numFmtId="0">
      <sharedItems containsSemiMixedTypes="0" containsString="0" containsNumber="1" containsInteger="1" minValue="18" maxValue="65" count="48">
        <n v="52"/>
        <n v="65"/>
        <n v="30"/>
        <n v="48"/>
        <n v="29"/>
        <n v="49"/>
        <n v="39"/>
        <n v="26"/>
        <n v="62"/>
        <n v="25"/>
        <n v="27"/>
        <n v="21"/>
        <n v="47"/>
        <n v="18"/>
        <n v="58"/>
        <n v="51"/>
        <n v="56"/>
        <n v="22"/>
        <n v="19"/>
        <n v="20"/>
        <n v="23"/>
        <n v="54"/>
        <n v="35"/>
        <n v="42"/>
        <n v="32"/>
        <n v="64"/>
        <n v="41"/>
        <n v="46"/>
        <n v="60"/>
        <n v="59"/>
        <n v="61"/>
        <n v="50"/>
        <n v="33"/>
        <n v="34"/>
        <n v="55"/>
        <n v="45"/>
        <n v="37"/>
        <n v="38"/>
        <n v="63"/>
        <n v="53"/>
        <n v="24"/>
        <n v="57"/>
        <n v="36"/>
        <n v="31"/>
        <n v="44"/>
        <n v="40"/>
        <n v="43"/>
        <n v="28"/>
      </sharedItems>
    </cacheField>
    <cacheField name="Endereço" numFmtId="0">
      <sharedItems count="737">
        <s v="Rua Setembro, 1635"/>
        <s v="Av. Hermes da Fonseca, 3562"/>
        <s v="Rua Tancredo Neves, 1249"/>
        <s v="Av. Juracy Magalhães, 1292"/>
        <s v="Av. Marcelino Pires, 3455"/>
        <s v="Av. Amazonas, 2864"/>
        <s v="Av. Bucar Neto, 2045"/>
        <s v="Av. Frei Serafim, 702"/>
        <s v="Av. Presidente Vargas, 1827"/>
        <s v="Av. Guilherme Schell, 2801"/>
        <s v="Av. Dr. Yvens Cordeiro, 761"/>
        <s v="Rua Tancredo Neves, 2754"/>
        <s v="Largo Dom Fernando Gomes, 3580"/>
        <s v="Av. Constantino Nery, 1482"/>
        <s v="Av. Frei Serafim, 1961"/>
        <s v="Av. Brasil, 565"/>
        <s v="Av. Paulista, 1547"/>
        <s v="Av. Goiás, 2151"/>
        <s v="Av. Brasil, 2522"/>
        <s v="Av. Ceará, 797"/>
        <s v="Av. Paulista, 2783"/>
        <s v="Av. Agamenon Magalhães, 1070"/>
        <s v="Av. Antônio Trajano, 1153"/>
        <s v="Av. Historiador Rubens de Mendonça, 2668"/>
        <s v="Av. Parque, 2404"/>
        <s v="Av. Guararapes, 560"/>
        <s v="Av. Soares Lopes, 2326"/>
        <s v="Rodovia BR-316, 803"/>
        <s v="Av. Nereu Ramos, 3923"/>
        <s v="Av. das Figueiras, 1779"/>
        <s v="Av. Amazonas, 2030"/>
        <s v="Av. Higienópolis, 2620"/>
        <s v="Via W3 Sul, 1436"/>
        <s v="Largo Dom Fernando Gomes, 3125"/>
        <s v="Av. Higienópolis, 3506"/>
        <s v="Rua São Pedro, 2956"/>
        <s v="Rua XV de Novembro, 2274"/>
        <s v="Largo Dom Fernando Gomes, 1994"/>
        <s v="Av. Epitácio Pessoa, 1927"/>
        <s v="Av. República do Líbano, 2747"/>
        <s v="Av. Piauí, 2805"/>
        <s v="Av. Alberto Maranhão, 2432"/>
        <s v="Av. Bucar Neto, 1877"/>
        <s v="Av. Getúlio Vargas, 2417"/>
        <s v="Av. Caxangá, 1952"/>
        <s v="Av. Marcelino Pires, 68"/>
        <s v="Av. Goiás, 104"/>
        <s v="Rua do Imperador, 2613"/>
        <s v="Rua dos Tupinambás, 3258"/>
        <s v="Rua XV de Novembro, 2113"/>
        <s v="Rua São Pedro, 517"/>
        <s v="Av. Alfredo Nasser, 3499"/>
        <s v="Av. São Sebastião, 1419"/>
        <s v="Av. Senhor dos Passos, 2831"/>
        <s v="Av. Sete de Setembro, 292"/>
        <s v="Av. João César de Oliveira, 3019"/>
        <s v="Av. Dr. Adhemar de Barros, 71"/>
        <s v="Rodovia BR-316, 889"/>
        <s v="Av. Bucar Neto, 1030"/>
        <s v="Av. Antônio Trajano, 3954"/>
        <s v="Av. Edson da Mota Correia, 88"/>
        <s v="Rua Moreira César, 2685"/>
        <s v="Via W3 Sul, 3483"/>
        <s v="Av. Loureiro da Silva, 3120"/>
        <s v="Av. Dom José, 2058"/>
        <s v="Rua dos Tupinambás, 2357"/>
        <s v="Av. Brigadeiro Everaldo Breves, 1638"/>
        <s v="Av. Dante Michelini, 3543"/>
        <s v="Av. Governador Leonel Brizola, 3887"/>
        <s v="Av. Copacabana, 2042"/>
        <s v="Av. Ville Roy, 2076"/>
        <s v="Av. Guilherme Schell, 1951"/>
        <s v="Av. Caxangá, 3640"/>
        <s v="Av. Jerônimo de Albuquerque, 875"/>
        <s v="Av. Ana Costa, 1518"/>
        <s v="Av. IV, 512"/>
        <s v="Rodovia BR-316, 3023"/>
        <s v="Av. Parque, 2334"/>
        <s v="Av. Senhor dos Passos, 2666"/>
        <s v="Av. Afonso Pena, 2939"/>
        <s v="Av. Senhor dos Passos, 1038"/>
        <s v="Av. Vicente Machado, 2989"/>
        <s v="Rua do Imperador, 410"/>
        <s v="Av. Alberto Torres, 323"/>
        <s v="Rua da Praia, 2513"/>
        <s v="Av. Presidente Kennedy, 2123"/>
        <s v="Av. Dr. Yvens Cordeiro, 62"/>
        <s v="Av. Amazonas, 2943"/>
        <s v="Av. Parque, 1513"/>
        <s v="Av. Santana, 632"/>
        <s v="Av. Alberto Maranhão, 359"/>
        <s v="Av. Hermes da Fonseca, 833"/>
        <s v="Av. Paulo de Frontin, 2775"/>
        <s v="Av. Goiás, 760"/>
        <s v="Av. Santana, 1669"/>
        <s v="Rua da Praia, 3057"/>
        <s v="Av. Teotônio Segurado, 637"/>
        <s v="Rua São Pedro, 834"/>
        <s v="Av. Brasil, 177"/>
        <s v="Av. Governador Leonel Brizola, 2014"/>
        <s v="Av. Guilherme Schell, 1378"/>
        <s v="Av. Hermes da Fonseca, 3094"/>
        <s v="Av. Rui Barbosa, 2226"/>
        <s v="Rodovia BR-316, 3194"/>
        <s v="Av. Edson da Mota Correia, 381"/>
        <s v="Via W3 Sul, 733"/>
        <s v="Av. Central, 3773"/>
        <s v="Av. Coletora A, 2483"/>
        <s v="Rodovia BR-316, 279"/>
        <s v="Av. Loureiro da Silva, 3133"/>
        <s v="Av. Constantino Nery, 2300"/>
        <s v="Av. Loureiro da Silva, 3607"/>
        <s v="Av. Fernandes Lima, 879"/>
        <s v="Av. IV, 1020"/>
        <s v="Av. Cônego João Lima, 3223"/>
        <s v="Av. Presidente Kennedy, 1940"/>
        <s v="Rua Setembro, 832"/>
        <s v="Av. Piauí, 2689"/>
        <s v="Av. Fernandes Lima, 1959"/>
        <s v="Av. Brasil, 1855"/>
        <s v="Av. Presidente Vargas, 1532"/>
        <s v="Rua XV de Novembro, 1101"/>
        <s v="Av. Coronel Martiniano, 594"/>
        <s v="Av. Caxangá, 779"/>
        <s v="Rua Marechal Deodoro, 3456"/>
        <s v="Av. Paulo de Frontin, 162"/>
        <s v="Av. Coletora A, 3028"/>
        <s v="Av. Getúlio Vargas, 1756"/>
        <s v="Av. Piauí, 3210"/>
        <s v="Av. Capitão Silvio, 2467"/>
        <s v="Av. Caxangá, 1113"/>
        <s v="Av. Amazonas, 19"/>
        <s v="Av. Canal, 130"/>
        <s v="Av. Alfredo Nasser, 3332"/>
        <s v="Rua Marechal Deodoro, 1739"/>
        <s v="Av. Rui Barbosa, 605"/>
        <s v="Rua da Praia, 2582"/>
        <s v="Av. Goiás, 1481"/>
        <s v="Largo Dom Fernando Gomes, 686"/>
        <s v="Av. João César de Oliveira, 2661"/>
        <s v="Av. Ana Costa, 3687"/>
        <s v="Av. Brasil, 3347"/>
        <s v="Av. Agamenon Magalhães, 3770"/>
        <s v="Av. Parque, 2635"/>
        <s v="Rua Tancredo Neves, 3917"/>
        <s v="Av. Senhor dos Passos, 1387"/>
        <s v="Av. Governador Leonel Brizola, 2188"/>
        <s v="Av. Getúlio Vargas, 1583"/>
        <s v="Av. Loureiro da Silva, 705"/>
        <s v="Av. Piauí, 2444"/>
        <s v="Av. Teotônio Segurado, 676"/>
        <s v="Av. Governador Valadares, 348"/>
        <s v="Av. Goiás, 1795"/>
        <s v="Av. Brasil, 3404"/>
        <s v="Av. Ceará, 91"/>
        <s v="Av. Alberto Maranhão, 2899"/>
        <s v="Av. Campo Grande, 1193"/>
        <s v="Av. Coletora A, 3267"/>
        <s v="Av. Brasil, 1255"/>
        <s v="Rua Tancredo Neves, 850"/>
        <s v="Via W3 Sul, 485"/>
        <s v="Av. Presidente Vargas, 1690"/>
        <s v="Rua Moreira César, 649"/>
        <s v="Av. Dr. Yvens Cordeiro, 2269"/>
        <s v="Rua dos Tupinambás, 2900"/>
        <s v="Rua da Praia, 1613"/>
        <s v="Av. Gov. José Malcher, 1165"/>
        <s v="Av. Paulista, 597"/>
        <s v="Av. Dr. Adhemar de Barros, 1428"/>
        <s v="Via W3 Sul, 2065"/>
        <s v="Av. Central, 380"/>
        <s v="Av. Bucar Neto, 3378"/>
        <s v="Av. Dorival Cândido Luz de Oliveira, 86"/>
        <s v="Av. FEB, 2805"/>
        <s v="Av. Jerônimo Gonçalves, 3403"/>
        <s v="Av. Atlântica, 3436"/>
        <s v="Av. Brigadeiro Everaldo Breves, 2498"/>
        <s v="Av. Campo Grande, 2510"/>
        <s v="Av. Ville Roy, 2528"/>
        <s v="Av. Alberto Maranhão, 982"/>
        <s v="Rua XV de Novembro, 2007"/>
        <s v="Rua Setembro, 3167"/>
        <s v="Av. Jorge Amado, 2140"/>
        <s v="Av. Cônego João Lima, 2714"/>
        <s v="Av. Presidente Vargas, 322"/>
        <s v="Rua dos Tupinambás, 3740"/>
        <s v="Av. Dom José, 2341"/>
        <s v="Av. Getúlio Vargas, 1141"/>
        <s v="Av. Dr. Adhemar de Barros, 357"/>
        <s v="Av. Sete de Setembro, 2105"/>
        <s v="Av. Guararapes, 2715"/>
        <s v="Av. Presidente Vargas, 3130"/>
        <s v="Av. Jerônimo Gonçalves, 2914"/>
        <s v="Av. Dom José, 3242"/>
        <s v="Av. Constantino Nery, 3328"/>
        <s v="Av. Atlântica, 1539"/>
        <s v="Av. Presidente Vargas, 2746"/>
        <s v="Av. Amazonas, 1900"/>
        <s v="Rodovia BR-316, 663"/>
        <s v="Av. Vicente Machado, 1501"/>
        <s v="Av. Bernardo Vieira de Melo, 1001"/>
        <s v="Av. Parque, 3910"/>
        <s v="Largo Dom Fernando Gomes, 2580"/>
        <s v="Av. Copacabana, 3086"/>
        <s v="Av. Alberto Maranhão, 1222"/>
        <s v="Av. Ceará, 2894"/>
        <s v="Rua XV de Novembro, 2894"/>
        <s v="Av. Alberto Torres, 942"/>
        <s v="Av. Antônio Trajano, 3117"/>
        <s v="Av. Antônio Trajano, 2899"/>
        <s v="Av. Fernando Afonso Collor de Mello, 2194"/>
        <s v="Av. Ana Costa, 2569"/>
        <s v="Av. Getúlio Vargas, 1477"/>
        <s v="Av. Cônego João Lima, 2451"/>
        <s v="Av. Historiador Rubens de Mendonça, 343"/>
        <s v="Av. Getúlio Vargas, 2856"/>
        <s v="Av. Epitácio Pessoa, 1787"/>
        <s v="Av. Bucar Neto, 3564"/>
        <s v="Rua Marechal Deodoro, 628"/>
        <s v="Rua Moreira César, 43"/>
        <s v="Av. Brigadeiro Everaldo Breves, 3043"/>
        <s v="Av. Paulo de Frontin, 67"/>
        <s v="Av. Dante Michelini, 3865"/>
        <s v="Av. Guilherme Schell, 2622"/>
        <s v="Av. Dorival Cândido Luz de Oliveira, 1623"/>
        <s v="Av. Ville Roy, 2580"/>
        <s v="Av. Alberto Torres, 1568"/>
        <s v="Av. Canal, 3878"/>
        <s v="Av. Jerônimo Monteiro, 1755"/>
        <s v="Av. Getúlio Vargas, 147"/>
        <s v="Av. Amazonas, 688"/>
        <s v="Av. Francisco Glicério, 525"/>
        <s v="Av. São Sebastião, 1559"/>
        <s v="Rua XV de Novembro, 731"/>
        <s v="Av. Antônio Trajano, 2617"/>
        <s v="Av. Bucar Neto, 3436"/>
        <s v="Av. Barão do Rio Branco, 3472"/>
        <s v="Av. Nove de Julho, 2896"/>
        <s v="Av. Getúlio Vargas, 2825"/>
        <s v="Av. VP-8, 1995"/>
        <s v="Rodovia BR-316, 802"/>
        <s v="Av. Brasil, 1716"/>
        <s v="Av. Amazonas, 1195"/>
        <s v="Av. Gov. José Malcher, 2285"/>
        <s v="Av. Constantino Nery, 2468"/>
        <s v="Av. Agamenon Magalhães, 504"/>
        <s v="Av. Senhor dos Passos, 1588"/>
        <s v="Av. Amazonas, 616"/>
        <s v="Av. Brasil, 1089"/>
        <s v="Av. Brasil, 3504"/>
        <s v="Av. Canal, 3157"/>
        <s v="Av. Dr. Adhemar de Barros, 1944"/>
        <s v="Av. Juracy Magalhães, 2941"/>
        <s v="Rua Coronel José Vicente, 1481"/>
        <s v="Av. Canal, 919"/>
        <s v="Av. Alberto Torres, 1358"/>
        <s v="Av. Frei Serafim, 684"/>
        <s v="Av. Afonso Pena, 1637"/>
        <s v="Rua Moreira César, 2477"/>
        <s v="Av. Dr. Adhemar de Barros, 1992"/>
        <s v="Av. Hermes da Fonseca, 2833"/>
        <s v="Av. Vicente Machado, 856"/>
        <s v="Av. FEB, 2508"/>
        <s v="Av. Agamenon Magalhães, 549"/>
        <s v="Av. Teotônio Segurado, 52"/>
        <s v="Av. VP-8, 400"/>
        <s v="Av. Getúlio Vargas, 2389"/>
        <s v="Rua dos Tupinambás, 3041"/>
        <s v="Av. Paulista, 230"/>
        <s v="Av. Jerônimo Monteiro, 2522"/>
        <s v="Av. Ville Roy, 3169"/>
        <s v="Av. Paulista, 2903"/>
        <s v="Av. Frei Serafim, 1639"/>
        <s v="Av. Gov. José Malcher, 1934"/>
        <s v="Via W3 Sul, 89"/>
        <s v="Av. Júlio de Castilhos, 483"/>
        <s v="Av. das Figueiras, 1387"/>
        <s v="Av. Edson da Mota Correia, 838"/>
        <s v="Av. Getúlio Vargas, 3074"/>
        <s v="Av. Soares Lopes, 1782"/>
        <s v="Av. Paulista, 1168"/>
        <s v="Av. Ceará, 3772"/>
        <s v="Av. São Sebastião, 3682"/>
        <s v="Av. Agamenon Magalhães, 2854"/>
        <s v="Av. Bernardo Vieira de Melo, 1139"/>
        <s v="Av. Almirante Barroso, 1017"/>
        <s v="Rodovia BR-316, 2217"/>
        <s v="Av. Paulo de Frontin, 1373"/>
        <s v="Av. Central, 486"/>
        <s v="Av. Izoraida Marques Peres, 306"/>
        <s v="Av. Hermes da Fonseca, 2204"/>
        <s v="Av. Central, 998"/>
        <s v="Av. Juracy Magalhães, 62"/>
        <s v="Av. Amazonas, 1887"/>
        <s v="Av. Bernardo Vieira de Melo, 3174"/>
        <s v="Av. Beira Mar, 3299"/>
        <s v="Av. Higienópolis, 3056"/>
        <s v="Av. Sete de Setembro, 532"/>
        <s v="Av. Getúlio Vargas, 1782"/>
        <s v="Av. Guararapes, 984"/>
        <s v="Av. Loureiro da Silva, 3139"/>
        <s v="Av. Soares Lopes, 2182"/>
        <s v="Av. Alberto Maranhão, 2943"/>
        <s v="Av. Fernando Afonso Collor de Mello, 1214"/>
        <s v="Rua Coronel José Vicente, 3471"/>
        <s v="Rua Moreira César, 3964"/>
        <s v="Av. Getúlio Vargas, 551"/>
        <s v="Av. Parque, 15"/>
        <s v="Av. Guilherme Schell, 3945"/>
        <s v="Av. Alfredo Nasser, 2617"/>
        <s v="Via W3 Sul, 2967"/>
        <s v="Av. Soares Lopes, 3455"/>
        <s v="Av. Goiás, 201"/>
        <s v="Av. Historiador Rubens de Mendonça, 284"/>
        <s v="Av. Independência, 3490"/>
        <s v="Av. Bernardo Vieira de Melo, 1943"/>
        <s v="Av. Atlântica, 1456"/>
        <s v="Av. Ville Roy, 2316"/>
        <s v="Av. Brasil, 582"/>
        <s v="Av. Gov. José Malcher, 1830"/>
        <s v="Av. Dr. Adhemar de Barros, 2617"/>
        <s v="Rua São Pedro, 2206"/>
        <s v="Av. Almirante Barroso, 1814"/>
        <s v="Av. Afonso Pena, 3994"/>
        <s v="Av. Alberto Torres, 3354"/>
        <s v="Av. Alberto Maranhão, 999"/>
        <s v="Av. República do Líbano, 2492"/>
        <s v="Av. Júlio de Castilhos, 3858"/>
        <s v="Av. Getúlio Vargas, 3016"/>
        <s v="Av. Fab, 814"/>
        <s v="Av. Epitácio Pessoa, 3129"/>
        <s v="Av. Constantino Nery, 1674"/>
        <s v="Av. Constantino Nery, 1916"/>
        <s v="Av. FEB, 581"/>
        <s v="Av. IV, 3727"/>
        <s v="Av. Copacabana, 3261"/>
        <s v="Av. FEB, 2713"/>
        <s v="Av. Governador Valadares, 1145"/>
        <s v="Rua São Pedro, 3323"/>
        <s v="Av. Barão do Rio Branco, 2512"/>
        <s v="Av. Nove de Julho, 234"/>
        <s v="Av. Historiador Rubens de Mendonça, 1203"/>
        <s v="Rua Príncipe, 3995"/>
        <s v="Av. Goiás, 3493"/>
        <s v="Rua Moreira César, 2850"/>
        <s v="Av. Dante Michelini, 67"/>
        <s v="Av. Amazonas, 1714"/>
        <s v="Av. Epitácio Pessoa, 1130"/>
        <s v="Av. Izoraida Marques Peres, 2958"/>
        <s v="Av. Frei Serafim, 2662"/>
        <s v="Av. Izoraida Marques Peres, 2253"/>
        <s v="Av. Gov. José Malcher, 2352"/>
        <s v="Av. Constantino Nery, 1850"/>
        <s v="Av. Santana, 2222"/>
        <s v="Av. Ville Roy, 3579"/>
        <s v="Av. Alberto Maranhão, 176"/>
        <s v="Av. Fab, 1603"/>
        <s v="Av. Fernando Afonso Collor de Mello, 3711"/>
        <s v="Av. Teotônio Segurado, 1678"/>
        <s v="Av. Independência, 519"/>
        <s v="Av. Teotônio Segurado, 1386"/>
        <s v="Av. Governador Valadares, 2333"/>
        <s v="Av. Dorival Cândido Luz de Oliveira, 1983"/>
        <s v="Av. Fab, 2078"/>
        <s v="Av. Goiás, 904"/>
        <s v="Av. Juracy Magalhães, 2905"/>
        <s v="Av. Sete de Setembro, 2190"/>
        <s v="Av. das Figueiras, 2095"/>
        <s v="Av. Parque, 3581"/>
        <s v="Av. Piauí, 3215"/>
        <s v="Av. Júlio de Castilhos, 858"/>
        <s v="Av. Presidente Vargas, 1390"/>
        <s v="Av. Juracy Magalhães, 1973"/>
        <s v="Av. Almirante Barroso, 1790"/>
        <s v="Av. Santos Dumont, 413"/>
        <s v="Av. Izoraida Marques Peres, 3038"/>
        <s v="Av. Fab, 3140"/>
        <s v="Av. Alfredo Nasser, 3562"/>
        <s v="Rua Príncipe, 3143"/>
        <s v="Av. Fernando Afonso Collor de Mello, 1468"/>
        <s v="Av. Ceará, 1141"/>
        <s v="Av. das Figueiras, 3236"/>
        <s v="Av. Alberto Maranhão, 1701"/>
        <s v="Av. Cônego João Lima, 2749"/>
        <s v="Av. Brigadeiro Everaldo Breves, 2517"/>
        <s v="Av. Almirante Barroso, 2538"/>
        <s v="Av. Santana, 332"/>
        <s v="Av. República do Líbano, 3905"/>
        <s v="Av. Presidente Vargas, 343"/>
        <s v="Av. Loureiro da Silva, 1407"/>
        <s v="Av. Barão do Rio Branco, 3753"/>
        <s v="Av. Amazonas, 667"/>
        <s v="Av. Fab, 2940"/>
        <s v="Rua do Imperador, 1671"/>
        <s v="Av. Brasil, 2797"/>
        <s v="Rua Setembro, 2623"/>
        <s v="Av. Campo Grande, 3743"/>
        <s v="Av. Brasil, 1003"/>
        <s v="Av. Copacabana, 1081"/>
        <s v="Av. Getúlio Vargas, 3112"/>
        <s v="Rua Setembro, 2216"/>
        <s v="Av. Sete de Setembro, 2477"/>
        <s v="Av. Presidente Kennedy, 317"/>
        <s v="Av. Júlio de Castilhos, 1397"/>
        <s v="Av. República do Líbano, 347"/>
        <s v="Av. Coronel Martiniano, 743"/>
        <s v="Av. Santana, 93"/>
        <s v="Av. Constantino Nery, 2198"/>
        <s v="Av. Brasil, 1161"/>
        <s v="Av. República do Líbano, 500"/>
        <s v="Av. República do Líbano, 832"/>
        <s v="Av. Agamenon Magalhães, 2726"/>
        <s v="Av. Soares Lopes, 1830"/>
        <s v="Av. Juracy Magalhães, 3251"/>
        <s v="Av. Jerônimo Monteiro, 68"/>
        <s v="Av. Copacabana, 2422"/>
        <s v="Av. Santana, 947"/>
        <s v="Av. Alberto Torres, 2888"/>
        <s v="Av. Bernardo Vieira de Melo, 1927"/>
        <s v="Av. Júlio de Castilhos, 403"/>
        <s v="Av. Brigadeiro Everaldo Breves, 3785"/>
        <s v="Av. Getúlio Vargas, 3046"/>
        <s v="Av. Alberto Maranhão, 709"/>
        <s v="Av. Rui Barbosa, 832"/>
        <s v="Rua do Imperador, 1174"/>
        <s v="Av. Alberto Maranhão, 44"/>
        <s v="Av. Fernando Afonso Collor de Mello, 1781"/>
        <s v="Av. Presidente Vargas, 3539"/>
        <s v="Av. Afonso Pena, 2943"/>
        <s v="Av. Higienópolis, 1107"/>
        <s v="Av. Getúlio Vargas, 1251"/>
        <s v="Rua dos Tupinambás, 729"/>
        <s v="Av. Bernardo Vieira de Melo, 336"/>
        <s v="Av. Capitão Silvio, 2799"/>
        <s v="Rua do Imperador, 2159"/>
        <s v="Av. Alberto Torres, 1772"/>
        <s v="Av. Brasil, 1208"/>
        <s v="Av. João César de Oliveira, 2083"/>
        <s v="Av. Parque, 3310"/>
        <s v="Av. Presidente Vargas, 3527"/>
        <s v="Av. Copacabana, 1791"/>
        <s v="Av. Governador Valadares, 1793"/>
        <s v="Av. Jerônimo de Albuquerque, 3064"/>
        <s v="Av. Independência, 108"/>
        <s v="Av. Amazonas, 2985"/>
        <s v="Av. Brasil, 2315"/>
        <s v="Av. Fab, 3834"/>
        <s v="Av. Brasil, 982"/>
        <s v="Av. Paulista, 1019"/>
        <s v="Rua da Praia, 2547"/>
        <s v="Av. Dr. Adhemar de Barros, 101"/>
        <s v="Av. Barão do Rio Branco, 3967"/>
        <s v="Av. Presidente Kennedy, 118"/>
        <s v="Av. Gov. José Malcher, 2406"/>
        <s v="Av. Brasil, 1657"/>
        <s v="Via W3 Sul, 2347"/>
        <s v="Av. Soares Lopes, 364"/>
        <s v="Av. República do Líbano, 2740"/>
        <s v="Av. Dr. Yvens Cordeiro, 1641"/>
        <s v="Av. Piauí, 2675"/>
        <s v="Av. Independência, 2136"/>
        <s v="Av. Soares Lopes, 1506"/>
        <s v="Rua do Imperador, 377"/>
        <s v="Av. Governador Leonel Brizola, 472"/>
        <s v="Av. Piauí, 815"/>
        <s v="Av. Dom José, 1100"/>
        <s v="Av. Nereu Ramos, 3732"/>
        <s v="Via W3 Sul, 2368"/>
        <s v="Av. Paulo de Frontin, 994"/>
        <s v="Av. Rui Barbosa, 1614"/>
        <s v="Av. Caxangá, 2417"/>
        <s v="Av. Presidente Kennedy, 1636"/>
        <s v="Av. Governador Valadares, 377"/>
        <s v="Av. Higienópolis, 1525"/>
        <s v="Av. Jorge Teixeira, 3802"/>
        <s v="Av. Presidente Kennedy, 219"/>
        <s v="Av. Independência, 414"/>
        <s v="Av. Brasil, 643"/>
        <s v="Av. Guilherme Schell, 1849"/>
        <s v="Av. Governador Leonel Brizola, 3578"/>
        <s v="Av. Canal, 1530"/>
        <s v="Av. Getúlio Vargas, 335"/>
        <s v="Av. Alberto Torres, 1494"/>
        <s v="Av. Santana, 862"/>
        <s v="Av. Atlântica, 3758"/>
        <s v="Av. Edson da Mota Correia, 2732"/>
        <s v="Rua Príncipe, 2165"/>
        <s v="Av. Piauí, 3014"/>
        <s v="Rua São Pedro, 2170"/>
        <s v="Av. Francisco Glicério, 311"/>
        <s v="Av. Barão do Rio Branco, 2607"/>
        <s v="Av. Goiás, 1273"/>
        <s v="Av. São Sebastião, 2045"/>
        <s v="Av. Fab, 752"/>
        <s v="Rua São Pedro, 3084"/>
        <s v="Via W3 Sul, 470"/>
        <s v="Av. Jorge Amado, 993"/>
        <s v="Av. Afonso Pena, 82"/>
        <s v="Av. Copacabana, 38"/>
        <s v="Av. Epitácio Pessoa, 1816"/>
        <s v="Av. Parque, 1745"/>
        <s v="Av. Barão do Rio Branco, 3348"/>
        <s v="Av. Dorival Cândido Luz de Oliveira, 3101"/>
        <s v="Av. Dr. Yvens Cordeiro, 3637"/>
        <s v="Av. Marcelino Pires, 1821"/>
        <s v="Av. Cônego João Lima, 1100"/>
        <s v="Av. Atlântica, 1962"/>
        <s v="Av. São Sebastião, 522"/>
        <s v="Av. Ville Roy, 3148"/>
        <s v="Av. IV, 3873"/>
        <s v="Av. Governador Leonel Brizola, 3423"/>
        <s v="Av. Afonso Pena, 3764"/>
        <s v="Av. Parque, 2053"/>
        <s v="Av. Jorge Teixeira, 2612"/>
        <s v="Av. Izoraida Marques Peres, 2657"/>
        <s v="Av. Guararapes, 205"/>
        <s v="Av. Dr. Adhemar de Barros, 40"/>
        <s v="Av. Brasil, 2976"/>
        <s v="Av. Soares Lopes, 3535"/>
        <s v="Av. FEB, 3642"/>
        <s v="Av. Dom José, 3932"/>
        <s v="Av. Brasil, 3759"/>
        <s v="Av. Nove de Julho, 740"/>
        <s v="Rua Tancredo Neves, 1371"/>
        <s v="Rua Setembro, 3062"/>
        <s v="Av. Ceará, 802"/>
        <s v="Av. Bucar Neto, 2165"/>
        <s v="Av. Brasil, 603"/>
        <s v="Av. Canal, 3927"/>
        <s v="Av. Ville Roy, 641"/>
        <s v="Av. Agamenon Magalhães, 1909"/>
        <s v="Av. Presidente Kennedy, 236"/>
        <s v="Rua Setembro, 2886"/>
        <s v="Av. Brasil, 3229"/>
        <s v="Av. Amazonas, 240"/>
        <s v="Av. Coletora A, 2788"/>
        <s v="Av. Presidente Vargas, 3587"/>
        <s v="Av. Rui Barbosa, 1981"/>
        <s v="Av. Parque, 389"/>
        <s v="Av. Governador Valadares, 2493"/>
        <s v="Rodovia BR-316, 2841"/>
        <s v="Rua XV de Novembro, 1609"/>
        <s v="Av. Presidente Kennedy, 1881"/>
        <s v="Av. Copacabana, 1147"/>
        <s v="Av. Historiador Rubens de Mendonça, 3464"/>
        <s v="Av. Alberto Maranhão, 150"/>
        <s v="Av. Goiás, 322"/>
        <s v="Av. Barão do Rio Branco, 746"/>
        <s v="Av. Rui Barbosa, 2930"/>
        <s v="Av. Afonso Pena, 778"/>
        <s v="Av. Santana, 3401"/>
        <s v="Av. Goiás, 2879"/>
        <s v="Av. Barão do Rio Branco, 76"/>
        <s v="Av. Brasil, 1171"/>
        <s v="Av. Dr. Yvens Cordeiro, 1483"/>
        <s v="Av. Barão do Rio Branco, 2216"/>
        <s v="Av. Alfredo Nasser, 1772"/>
        <s v="Av. Paulo de Frontin, 271"/>
        <s v="Av. Júlio de Castilhos, 1576"/>
        <s v="Av. Brasil, 2746"/>
        <s v="Av. Guararapes, 359"/>
        <s v="Av. Coronel Martiniano, 1603"/>
        <s v="Av. Izoraida Marques Peres, 434"/>
        <s v="Av. Presidente Vargas, 2443"/>
        <s v="Av. Afonso Pena, 1028"/>
        <s v="Av. Campo Grande, 2303"/>
        <s v="Av. Presidente Vargas, 607"/>
        <s v="Av. Guararapes, 3059"/>
        <s v="Av. Coletora A, 3233"/>
        <s v="Av. Dom José, 2979"/>
        <s v="Av. Bucar Neto, 792"/>
        <s v="Av. Capitão Silvio, 1898"/>
        <s v="Av. Júlio de Castilhos, 1389"/>
        <s v="Av. Presidente Kennedy, 3476"/>
        <s v="Av. Jorge Teixeira, 22"/>
        <s v="Av. Fernandes Lima, 69"/>
        <s v="Av. Barão do Rio Branco, 2694"/>
        <s v="Av. Governador Valadares, 2016"/>
        <s v="Av. Santos Dumont, 2485"/>
        <s v="Av. Ville Roy, 1450"/>
        <s v="Av. Presidente Vargas, 438"/>
        <s v="Av. Guilherme Schell, 2898"/>
        <s v="Av. Cônego João Lima, 3787"/>
        <s v="Av. Canal, 3527"/>
        <s v="Av. Caxangá, 3944"/>
        <s v="Av. Jerônimo Monteiro, 1513"/>
        <s v="Av. Juracy Magalhães, 778"/>
        <s v="Av. Afonso Pena, 1332"/>
        <s v="Av. Jorge Teixeira, 613"/>
        <s v="Av. Frei Serafim, 2085"/>
        <s v="Av. Ville Roy, 2"/>
        <s v="Rua Tancredo Neves, 2063"/>
        <s v="Av. Bernardo Vieira de Melo, 3743"/>
        <s v="Av. Fernandes Lima, 3567"/>
        <s v="Av. Canal, 2372"/>
        <s v="Av. Marcelino Pires, 1154"/>
        <s v="Av. Nereu Ramos, 843"/>
        <s v="Av. Barão do Rio Branco, 2640"/>
        <s v="Av. Brasil, 3817"/>
        <s v="Av. Governador Valadares, 3369"/>
        <s v="Av. Capitão Silvio, 2016"/>
        <s v="Largo Dom Fernando Gomes, 2276"/>
        <s v="Av. Fab, 1442"/>
        <s v="Av. Brasil, 2590"/>
        <s v="Via W3 Sul, 1560"/>
        <s v="Via W3 Sul, 2503"/>
        <s v="Av. Brigadeiro Everaldo Breves, 3798"/>
        <s v="Av. Ville Roy, 2267"/>
        <s v="Av. Copacabana, 1065"/>
        <s v="Av. Amazonas, 2984"/>
        <s v="Largo Dom Fernando Gomes, 1277"/>
        <s v="Av. Nereu Ramos, 2803"/>
        <s v="Rua Príncipe, 2071"/>
        <s v="Av. Juracy Magalhães, 2764"/>
        <s v="Rua Coronel José Vicente, 2405"/>
        <s v="Av. Historiador Rubens de Mendonça, 1741"/>
        <s v="Av. Getúlio Vargas, 1474"/>
        <s v="Av. Almirante Barroso, 131"/>
        <s v="Av. Almirante Barroso, 3281"/>
        <s v="Av. Nereu Ramos, 2767"/>
        <s v="Av. Getúlio Vargas, 88"/>
        <s v="Rua Tancredo Neves, 1457"/>
        <s v="Av. Getúlio Vargas, 755"/>
        <s v="Av. Senhor dos Passos, 267"/>
        <s v="Av. Ceará, 2747"/>
        <s v="Av. Governador Valadares, 2195"/>
        <s v="Rua Marechal Deodoro, 341"/>
        <s v="Av. Teotônio Segurado, 208"/>
        <s v="Av. Campo Grande, 701"/>
        <s v="Av. Campo Grande, 121"/>
        <s v="Av. Brasil, 3213"/>
        <s v="Av. Fab, 3709"/>
        <s v="Av. VP-8, 1885"/>
        <s v="Av. Nove de Julho, 454"/>
        <s v="Rua Moreira César, 3475"/>
        <s v="Av. Dante Michelini, 2313"/>
        <s v="Av. Copacabana, 3818"/>
        <s v="Av. Brasil, 1068"/>
        <s v="Av. Juracy Magalhães, 3720"/>
        <s v="Av. Brigadeiro Everaldo Breves, 1789"/>
        <s v="Av. Vicente Machado, 3275"/>
        <s v="Av. Ceará, 1117"/>
        <s v="Rodovia BR-316, 1668"/>
        <s v="Av. Jerônimo Monteiro, 128"/>
        <s v="Av. Coletora A, 847"/>
        <s v="Av. Campo Grande, 439"/>
        <s v="Av. Bucar Neto, 3801"/>
        <s v="Av. Santana, 2279"/>
        <s v="Av. Jerônimo Monteiro, 1653"/>
        <s v="Av. Historiador Rubens de Mendonça, 2844"/>
        <s v="Av. Antônio Trajano, 715"/>
        <s v="Av. Independência, 590"/>
        <s v="Av. Nove de Julho, 3245"/>
        <s v="Av. Nove de Julho, 3167"/>
        <s v="Av. Jerônimo Monteiro, 3944"/>
        <s v="Av. Amazonas, 1571"/>
        <s v="Av. Alberto Maranhão, 1927"/>
        <s v="Av. Sete de Setembro, 516"/>
        <s v="Av. Copacabana, 703"/>
        <s v="Av. Presidente Kennedy, 621"/>
        <s v="Rua Setembro, 2048"/>
        <s v="Av. Independência, 3810"/>
        <s v="Av. Paulo de Frontin, 646"/>
        <s v="Av. Governador Leonel Brizola, 2285"/>
        <s v="Rua Coronel José Vicente, 3365"/>
        <s v="Av. Barão do Rio Branco, 455"/>
        <s v="Av. Frei Serafim, 2056"/>
        <s v="Av. Santos Dumont, 190"/>
        <s v="Av. Amazonas, 3083"/>
        <s v="Rua Setembro, 1923"/>
        <s v="Av. Júlio de Castilhos, 1013"/>
        <s v="Av. Brasil, 1079"/>
        <s v="Av. Amazonas, 3957"/>
        <s v="Av. Loureiro da Silva, 1910"/>
        <s v="Av. Getúlio Vargas, 864"/>
        <s v="Av. Alfredo Nasser, 2817"/>
        <s v="Av. Deputado Esteves Rodrigues, 1478"/>
        <s v="Rua do Imperador, 1437"/>
        <s v="Av. Rui Barbosa, 1708"/>
        <s v="Av. Senhor dos Passos, 3806"/>
        <s v="Av. Fernandes Lima, 2395"/>
        <s v="Rua Moreira César, 2822"/>
        <s v="Av. Brasil, 358"/>
        <s v="Av. Amazonas, 125"/>
        <s v="Av. FEB, 2729"/>
        <s v="Av. Governador Valadares, 2717"/>
        <s v="Av. Jerônimo Monteiro, 3031"/>
        <s v="Av. Cônego João Lima, 1850"/>
        <s v="Av. Soares Lopes, 266"/>
        <s v="Av. Higienópolis, 2126"/>
        <s v="Rua da Praia, 3782"/>
        <s v="Av. Parque, 1574"/>
        <s v="Rodovia BR-316, 3521"/>
        <s v="Largo Dom Fernando Gomes, 2501"/>
        <s v="Av. Higienópolis, 1262"/>
        <s v="Av. Nove de Julho, 2928"/>
        <s v="Rua Marechal Deodoro, 118"/>
        <s v="Rua XV de Novembro, 1899"/>
        <s v="Av. Amazonas, 2972"/>
        <s v="Av. Getúlio Vargas, 30"/>
        <s v="Av. Cônego João Lima, 224"/>
        <s v="Av. Ville Roy, 2207"/>
        <s v="Via W3 Sul, 565"/>
        <s v="Av. Higienópolis, 3373"/>
        <s v="Av. Deputado Esteves Rodrigues, 3308"/>
        <s v="Av. Governador Valadares, 3061"/>
        <s v="Av. Fernandes Lima, 684"/>
        <s v="Av. Dr. Adhemar de Barros, 98"/>
        <s v="Av. Beira Mar, 2845"/>
        <s v="Av. Fernando Afonso Collor de Mello, 536"/>
        <s v="Av. Amazonas, 3211"/>
        <s v="Av. Agamenon Magalhães, 498"/>
        <s v="Rua Setembro, 3230"/>
        <s v="Av. João César de Oliveira, 1481"/>
        <s v="Av. Dom José, 579"/>
        <s v="Av. Senhor dos Passos, 256"/>
        <s v="Av. Presidente Vargas, 1801"/>
        <s v="Av. Frei Serafim, 2153"/>
        <s v="Av. Governador Valadares, 1123"/>
        <s v="Av. VP-8, 2273"/>
        <s v="Av. Edson da Mota Correia, 1041"/>
        <s v="Av. Alberto Maranhão, 1642"/>
        <s v="Av. Jorge Teixeira, 1019"/>
        <s v="Av. Edson da Mota Correia, 1363"/>
        <s v="Av. Soares Lopes, 3431"/>
        <s v="Rua Coronel José Vicente, 2569"/>
        <s v="Av. VP-8, 888"/>
        <s v="Av. Deputado Esteves Rodrigues, 3729"/>
        <s v="Av. Jorge Teixeira, 2736"/>
        <s v="Av. Santana, 1005"/>
        <s v="Av. República do Líbano, 1750"/>
        <s v="Av. Historiador Rubens de Mendonça, 2943"/>
        <s v="Av. Jerônimo Monteiro, 1655"/>
        <s v="Av. Marcelino Pires, 2470"/>
        <s v="Av. Presidente Kennedy, 436"/>
        <s v="Rua Príncipe, 285"/>
        <s v="Av. Ceará, 230"/>
      </sharedItems>
    </cacheField>
    <cacheField name="CEP" numFmtId="49">
      <sharedItems/>
    </cacheField>
    <cacheField name="Município" numFmtId="0">
      <sharedItems count="109">
        <s v="Salvador"/>
        <s v="Natal"/>
        <s v="Laranjal do Jari"/>
        <s v="Vitória da Conquista"/>
        <s v="Dourados"/>
        <s v="Rondonópolis"/>
        <s v="Floriano"/>
        <s v="Teresina"/>
        <s v="Rio Verde"/>
        <s v="Canoas"/>
        <s v="Rorainópolis"/>
        <s v="Arapiraca"/>
        <s v="Manaus"/>
        <s v="Maringá"/>
        <s v="São Paulo"/>
        <s v="Anápolis"/>
        <s v="Rio Branco"/>
        <s v="Caruaru"/>
        <s v="Três Lagoas"/>
        <s v="Cuiabá"/>
        <s v="Itacoatiara"/>
        <s v="Petrolina"/>
        <s v="Ilhéus"/>
        <s v="Ananindeua"/>
        <s v="Caxias"/>
        <s v="Sinop"/>
        <s v="Parintins"/>
        <s v="Londrina"/>
        <s v="Brasília"/>
        <s v="Juazeiro do Norte"/>
        <s v="Blumenau"/>
        <s v="Patos"/>
        <s v="Goiânia"/>
        <s v="Timon"/>
        <s v="Mossoró"/>
        <s v="Imperatriz"/>
        <s v="Recife"/>
        <s v="Gurupi"/>
        <s v="Petrópolis"/>
        <s v="Belo Horizonte"/>
        <s v="Luziânia"/>
        <s v="Parnaíba"/>
        <s v="Feira de Santana"/>
        <s v="Curitiba"/>
        <s v="Contagem"/>
        <s v="São José dos Campos"/>
        <s v="Caucaia"/>
        <s v="Niterói"/>
        <s v="Porto Alegre"/>
        <s v="Sobral"/>
        <s v="Parnamirim"/>
        <s v="Vitória"/>
        <s v="Duque de Caxias"/>
        <s v="Cruzeiro do Sul"/>
        <s v="Boa Vista"/>
        <s v="São Luís"/>
        <s v="Santos"/>
        <s v="Maracanaú"/>
        <s v="Campo Grande"/>
        <s v="Ponta Grossa"/>
        <s v="Campos dos Goytacazes"/>
        <s v="Florianópolis"/>
        <s v="São José"/>
        <s v="Santana"/>
        <s v="Volta Redonda"/>
        <s v="Palmas"/>
        <s v="Cascavel"/>
        <s v="Santarém"/>
        <s v="Serra"/>
        <s v="Nossa Senhora do Socorro"/>
        <s v="Maceió"/>
        <s v="Araguaína"/>
        <s v="Caicó"/>
        <s v="Pelotas"/>
        <s v="Picos"/>
        <s v="Ariquemes"/>
        <s v="Campina Grande"/>
        <s v="Foz do Iguaçu"/>
        <s v="Olinda"/>
        <s v="Betim"/>
        <s v="Cariacica"/>
        <s v="Ji-Paraná"/>
        <s v="Santa Maria"/>
        <s v="Belém"/>
        <s v="Gravataí"/>
        <s v="Várzea Grande"/>
        <s v="Ribeirão Preto"/>
        <s v="Rio de Janeiro"/>
        <s v="Camaçari"/>
        <s v="Jaboatão dos Guararapes"/>
        <s v="Rio Largo"/>
        <s v="São Bernardo do Campo"/>
        <s v="Vila Velha"/>
        <s v="Campinas"/>
        <s v="Juiz de Fora"/>
        <s v="Jundiaí"/>
        <s v="Marabá"/>
        <s v="Sousa"/>
        <s v="Uberlândia"/>
        <s v="Caxias do Sul"/>
        <s v="João Pessoa"/>
        <s v="Sorocaba"/>
        <s v="Aracaju"/>
        <s v="Aparecida de Goiânia"/>
        <s v="Macapá"/>
        <s v="Joinville"/>
        <s v="Fortaleza"/>
        <s v="Porto Velho"/>
        <s v="Montes Claros"/>
      </sharedItems>
    </cacheField>
    <cacheField name="UF" numFmtId="0">
      <sharedItems count="27">
        <s v="BA"/>
        <s v="RN"/>
        <s v="AP"/>
        <s v="MS"/>
        <s v="MT"/>
        <s v="PI"/>
        <s v="GO"/>
        <s v="RS"/>
        <s v="RR"/>
        <s v="AL"/>
        <s v="AM"/>
        <s v="PR"/>
        <s v="SP"/>
        <s v="AC"/>
        <s v="PE"/>
        <s v="PA"/>
        <s v="MA"/>
        <s v="DF"/>
        <s v="CE"/>
        <s v="SC"/>
        <s v="PB"/>
        <s v="TO"/>
        <s v="RJ"/>
        <s v="MG"/>
        <s v="ES"/>
        <s v="SE"/>
        <s v="RO"/>
      </sharedItems>
    </cacheField>
    <cacheField name="RG" numFmtId="49">
      <sharedItems/>
    </cacheField>
    <cacheField name="CPF" numFmtId="49">
      <sharedItems/>
    </cacheField>
    <cacheField name="Nome da Mãe" numFmtId="0">
      <sharedItems/>
    </cacheField>
    <cacheField name="Nome do Pai" numFmtId="0">
      <sharedItems/>
    </cacheField>
    <cacheField name="Etnia" numFmtId="0">
      <sharedItems/>
    </cacheField>
    <cacheField name="Profissão" numFmtId="0">
      <sharedItems count="20">
        <s v="Administrador"/>
        <s v="Enfermeiro"/>
        <s v="Economista"/>
        <s v="Médico Pediatra"/>
        <s v="Veterinário"/>
        <s v="Chef de Cozinha"/>
        <s v="Fisioterapeuta"/>
        <s v="Farmacêutico"/>
        <s v="Auxiliar Técnico"/>
        <s v="Contador"/>
        <s v="Eletricista"/>
        <s v="Engenheiro Civil"/>
        <s v="Biólogo"/>
        <s v="Psicóloga"/>
        <s v="Analista de Sistemas"/>
        <s v="Arquiteta"/>
        <s v="Jornalista"/>
        <s v="Professor"/>
        <s v="Advogado"/>
        <s v="Designer Gráfico"/>
      </sharedItems>
    </cacheField>
    <cacheField name="Estado Civil" numFmtId="0">
      <sharedItems count="5">
        <s v="Divorciado(a)"/>
        <s v="União Estável"/>
        <s v="Solteiro(a)"/>
        <s v="Casado(a)"/>
        <s v="Viúvo(a)"/>
      </sharedItems>
    </cacheField>
    <cacheField name="Possui Filhos?" numFmtId="0">
      <sharedItems/>
    </cacheField>
    <cacheField name="Qtd Filhos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8">
  <r>
    <n v="1"/>
    <s v="Henrique Mangabeira Chaves"/>
    <d v="1974-03-28T00:00:00"/>
    <x v="0"/>
    <x v="0"/>
    <s v="40060-001"/>
    <x v="0"/>
    <x v="0"/>
    <s v="8444661489"/>
    <s v="078176872411"/>
    <s v="Fernanda Laranjeira Mangabeira"/>
    <s v="Aparicio Evangelista Chaves"/>
    <s v="Branca"/>
    <x v="0"/>
    <x v="0"/>
    <s v="Não"/>
    <n v="0"/>
  </r>
  <r>
    <n v="2"/>
    <s v="Aline Medeiros Caldeira"/>
    <d v="1961-06-24T00:00:00"/>
    <x v="1"/>
    <x v="1"/>
    <s v="59020-000"/>
    <x v="1"/>
    <x v="1"/>
    <s v="6895481988"/>
    <s v="584617318422"/>
    <s v="Cleusa Aranha Medeiros"/>
    <s v="Gabriel Coimbra Caldeira"/>
    <s v="Branca"/>
    <x v="1"/>
    <x v="1"/>
    <s v="Sim"/>
    <n v="1"/>
  </r>
  <r>
    <n v="3"/>
    <s v="Cleide Gomes Freire"/>
    <d v="1996-01-18T00:00:00"/>
    <x v="2"/>
    <x v="2"/>
    <s v="68920-000"/>
    <x v="2"/>
    <x v="2"/>
    <s v="2103606431"/>
    <s v="131867045358"/>
    <s v="Alana Barreto Gomes"/>
    <s v="Rafael Baptista Freire"/>
    <s v="Parda"/>
    <x v="2"/>
    <x v="2"/>
    <s v="Não"/>
    <n v="0"/>
  </r>
  <r>
    <n v="4"/>
    <s v="Gabriel Rocha Meireles"/>
    <d v="1978-12-12T00:00:00"/>
    <x v="3"/>
    <x v="3"/>
    <s v="45023-490"/>
    <x v="3"/>
    <x v="0"/>
    <s v="3622423320"/>
    <s v="736842003133"/>
    <s v="Ione Assuncao Rocha"/>
    <s v="Emerson Pastrocinio Meireles"/>
    <s v="Indígena"/>
    <x v="3"/>
    <x v="2"/>
    <s v="Sim"/>
    <n v="1"/>
  </r>
  <r>
    <n v="5"/>
    <s v="Flavio Paiva Feitosa"/>
    <d v="1997-01-27T00:00:00"/>
    <x v="4"/>
    <x v="4"/>
    <s v="79800-001"/>
    <x v="4"/>
    <x v="3"/>
    <s v="4950740568"/>
    <s v="289767789596"/>
    <s v="Ivone Moraes Paiva"/>
    <s v="Gaston Cardoso Feitosa"/>
    <s v="Branca"/>
    <x v="4"/>
    <x v="1"/>
    <s v="Sim"/>
    <n v="1"/>
  </r>
  <r>
    <n v="6"/>
    <s v="Beto Duarte Delgado"/>
    <d v="1977-08-03T00:00:00"/>
    <x v="5"/>
    <x v="5"/>
    <s v="78700-050"/>
    <x v="5"/>
    <x v="4"/>
    <s v="3480006471"/>
    <s v="003435378790"/>
    <s v="Isaura Andrade Duarte"/>
    <s v="Biel Marinho Delgado"/>
    <s v="Parda"/>
    <x v="0"/>
    <x v="3"/>
    <s v="Sim"/>
    <n v="2"/>
  </r>
  <r>
    <n v="7"/>
    <s v="Chantal Jardim Naves"/>
    <d v="1987-06-22T00:00:00"/>
    <x v="6"/>
    <x v="6"/>
    <s v="64800-000"/>
    <x v="6"/>
    <x v="5"/>
    <s v="3179919307"/>
    <s v="607141586234"/>
    <s v="Letícia Branco Jardim"/>
    <s v="Fred Cordeiro Naves"/>
    <s v="Branca"/>
    <x v="5"/>
    <x v="0"/>
    <s v="Sim"/>
    <n v="1"/>
  </r>
  <r>
    <n v="8"/>
    <s v="Flavio Avila Figueira"/>
    <d v="2000-11-19T00:00:00"/>
    <x v="7"/>
    <x v="7"/>
    <s v="64001-020"/>
    <x v="7"/>
    <x v="5"/>
    <s v="4483854332"/>
    <s v="331326699109"/>
    <s v="Isaura Mascarenhas Avila"/>
    <s v="Bento Filgueiras Figueira"/>
    <s v="Branca"/>
    <x v="4"/>
    <x v="1"/>
    <s v="Não"/>
    <n v="0"/>
  </r>
  <r>
    <n v="9"/>
    <s v="Dirce Dantas Noronha"/>
    <d v="1964-04-05T00:00:00"/>
    <x v="8"/>
    <x v="8"/>
    <s v="75901-001"/>
    <x v="8"/>
    <x v="6"/>
    <s v="4816620740"/>
    <s v="610418367833"/>
    <s v="Ingrid Ribeiro Dantas"/>
    <s v="Frederico Mello Noronha"/>
    <s v="Branca"/>
    <x v="6"/>
    <x v="4"/>
    <s v="Não"/>
    <n v="0"/>
  </r>
  <r>
    <n v="10"/>
    <s v="Cassiano Carneiro Freire"/>
    <d v="2001-09-26T00:00:00"/>
    <x v="9"/>
    <x v="9"/>
    <s v="92200-630"/>
    <x v="9"/>
    <x v="7"/>
    <s v="2320141618"/>
    <s v="182727981270"/>
    <s v="Erica Antunes Carneiro"/>
    <s v="Enzo Paschoal Freire"/>
    <s v="Parda"/>
    <x v="0"/>
    <x v="0"/>
    <s v="Sim"/>
    <n v="3"/>
  </r>
  <r>
    <n v="11"/>
    <s v="Cássia Pinto Soares"/>
    <d v="1961-11-11T00:00:00"/>
    <x v="1"/>
    <x v="10"/>
    <s v="69375-000"/>
    <x v="10"/>
    <x v="8"/>
    <s v="4268967275"/>
    <s v="833143317845"/>
    <s v="Elisângela Evangelista Pinto"/>
    <s v="Ineu Ornellas Soares"/>
    <s v="Branca"/>
    <x v="0"/>
    <x v="0"/>
    <s v="Não"/>
    <n v="0"/>
  </r>
  <r>
    <n v="12"/>
    <s v="Conceição Malta Cabral"/>
    <d v="2000-06-09T00:00:00"/>
    <x v="7"/>
    <x v="11"/>
    <s v="68920-000"/>
    <x v="2"/>
    <x v="2"/>
    <s v="0133503294"/>
    <s v="647215964565"/>
    <s v="Glaucia Meireles Malta"/>
    <s v="Euzebio Faria Cabral"/>
    <s v="Branca"/>
    <x v="0"/>
    <x v="1"/>
    <s v="Não"/>
    <n v="0"/>
  </r>
  <r>
    <n v="13"/>
    <s v="Jasper Araujo Ferreira"/>
    <d v="1999-09-08T00:00:00"/>
    <x v="10"/>
    <x v="12"/>
    <s v="57300-040"/>
    <x v="11"/>
    <x v="9"/>
    <s v="1379491776"/>
    <s v="955233526063"/>
    <s v="Celina Lagos Araujo"/>
    <s v="Marcos Gama Ferreira"/>
    <s v="Preta"/>
    <x v="7"/>
    <x v="1"/>
    <s v="Não"/>
    <n v="0"/>
  </r>
  <r>
    <n v="14"/>
    <s v="Giovanni Gusmao Padilha"/>
    <d v="2005-06-21T00:00:00"/>
    <x v="11"/>
    <x v="13"/>
    <s v="69050-000"/>
    <x v="12"/>
    <x v="10"/>
    <s v="5833741296"/>
    <s v="017551020892"/>
    <s v="Elisabete Palma Gusmao"/>
    <s v="Hortencio Silva Padilha"/>
    <s v="Branca"/>
    <x v="8"/>
    <x v="1"/>
    <s v="Não"/>
    <n v="0"/>
  </r>
  <r>
    <n v="15"/>
    <s v="Eduardo Aranha Branco"/>
    <d v="1979-06-19T00:00:00"/>
    <x v="12"/>
    <x v="14"/>
    <s v="64001-020"/>
    <x v="7"/>
    <x v="5"/>
    <s v="5734724390"/>
    <s v="014157815470"/>
    <s v="Amanda Diniz Aranha"/>
    <s v="Benicio Lima Branco"/>
    <s v="Parda"/>
    <x v="5"/>
    <x v="3"/>
    <s v="Não"/>
    <n v="0"/>
  </r>
  <r>
    <n v="16"/>
    <s v="Letícia Assuncao Pastrocinio"/>
    <d v="2008-01-07T00:00:00"/>
    <x v="13"/>
    <x v="15"/>
    <s v="87013-000"/>
    <x v="13"/>
    <x v="11"/>
    <s v="6354850875"/>
    <s v="756648805514"/>
    <s v="Elaine Evangelista Assuncao"/>
    <s v="Alberto Freitas Pastrocinio"/>
    <s v="Preta"/>
    <x v="9"/>
    <x v="2"/>
    <s v="Sim"/>
    <n v="1"/>
  </r>
  <r>
    <n v="17"/>
    <s v="Erick Azevedo Meireles"/>
    <d v="1968-12-15T00:00:00"/>
    <x v="14"/>
    <x v="16"/>
    <s v="01310-100"/>
    <x v="14"/>
    <x v="12"/>
    <s v="1723446766"/>
    <s v="557275120360"/>
    <s v="Célia Avila Azevedo"/>
    <s v="Geraldo Palma Meireles"/>
    <s v="Preta"/>
    <x v="10"/>
    <x v="2"/>
    <s v="Sim"/>
    <n v="1"/>
  </r>
  <r>
    <n v="18"/>
    <s v="Gilmar Freire Marinho"/>
    <d v="1997-04-21T00:00:00"/>
    <x v="4"/>
    <x v="17"/>
    <s v="75020-010"/>
    <x v="15"/>
    <x v="6"/>
    <s v="6028533002"/>
    <s v="847632191613"/>
    <s v="Amélia Moita Freire"/>
    <s v="Everaldo Monteiro Marinho"/>
    <s v="Preta"/>
    <x v="5"/>
    <x v="1"/>
    <s v="Sim"/>
    <n v="2"/>
  </r>
  <r>
    <n v="19"/>
    <s v="Adalberto Negrao Neves"/>
    <d v="1975-12-03T00:00:00"/>
    <x v="15"/>
    <x v="18"/>
    <s v="87013-000"/>
    <x v="13"/>
    <x v="11"/>
    <s v="5262832468"/>
    <s v="152572923643"/>
    <s v="Astrid Xavier Negrao"/>
    <s v="Erick Paes Neves"/>
    <s v="Branca"/>
    <x v="11"/>
    <x v="1"/>
    <s v="Sim"/>
    <n v="1"/>
  </r>
  <r>
    <n v="20"/>
    <s v="Daniel Lozano Neves"/>
    <d v="1970-10-22T00:00:00"/>
    <x v="16"/>
    <x v="19"/>
    <s v="69900-001"/>
    <x v="16"/>
    <x v="13"/>
    <s v="5265242178"/>
    <s v="604003521998"/>
    <s v="Coralina Gusmao Lozano"/>
    <s v="Everton Goulart Neves"/>
    <s v="Parda"/>
    <x v="9"/>
    <x v="4"/>
    <s v="Sim"/>
    <n v="2"/>
  </r>
  <r>
    <n v="21"/>
    <s v="Célia Madureira Nunes"/>
    <d v="2001-06-10T00:00:00"/>
    <x v="9"/>
    <x v="20"/>
    <s v="01310-100"/>
    <x v="14"/>
    <x v="12"/>
    <s v="8961116647"/>
    <s v="013325045318"/>
    <s v="Cássia Ornellas Madureira"/>
    <s v="Iuri Laranjeira Nunes"/>
    <s v="Parda"/>
    <x v="12"/>
    <x v="3"/>
    <s v="Sim"/>
    <n v="1"/>
  </r>
  <r>
    <n v="22"/>
    <s v="Aurora Moraes Barros"/>
    <d v="2004-12-25T00:00:00"/>
    <x v="17"/>
    <x v="21"/>
    <s v="55012-290"/>
    <x v="17"/>
    <x v="14"/>
    <s v="6194448933"/>
    <s v="642209758539"/>
    <s v="Daiana Garcez Moraes"/>
    <s v="Ineu Borges Barros"/>
    <s v="Preta"/>
    <x v="10"/>
    <x v="4"/>
    <s v="Sim"/>
    <n v="3"/>
  </r>
  <r>
    <n v="23"/>
    <s v="Gertrudes Frota Camargo"/>
    <d v="2007-03-13T00:00:00"/>
    <x v="18"/>
    <x v="22"/>
    <s v="79601-001"/>
    <x v="18"/>
    <x v="3"/>
    <s v="7905310780"/>
    <s v="074683398281"/>
    <s v="Heloísa Lins Frota"/>
    <s v="Cassiano Caceres Camargo"/>
    <s v="Preta"/>
    <x v="13"/>
    <x v="0"/>
    <s v="Não"/>
    <n v="0"/>
  </r>
  <r>
    <n v="24"/>
    <s v="Haroldo Geraldo Ladeira"/>
    <d v="2006-10-02T00:00:00"/>
    <x v="19"/>
    <x v="23"/>
    <s v="78008-000"/>
    <x v="19"/>
    <x v="4"/>
    <s v="6545840243"/>
    <s v="165002316618"/>
    <s v="Eunice Padilha Geraldo"/>
    <s v="Gaspar Xavier Ladeira"/>
    <s v="Preta"/>
    <x v="5"/>
    <x v="2"/>
    <s v="Não"/>
    <n v="0"/>
  </r>
  <r>
    <n v="25"/>
    <s v="Francisca Lousada Aranha"/>
    <d v="2003-12-28T00:00:00"/>
    <x v="20"/>
    <x v="24"/>
    <s v="69100-043"/>
    <x v="20"/>
    <x v="10"/>
    <s v="1678216654"/>
    <s v="965949471342"/>
    <s v="Eneida Bueno Lousada"/>
    <s v="Frederico Duarte Aranha"/>
    <s v="Parda"/>
    <x v="14"/>
    <x v="4"/>
    <s v="Não"/>
    <n v="0"/>
  </r>
  <r>
    <n v="26"/>
    <s v="Heitor Paranhos Vieira"/>
    <d v="1972-12-24T00:00:00"/>
    <x v="21"/>
    <x v="25"/>
    <s v="56302-000"/>
    <x v="21"/>
    <x v="14"/>
    <s v="8018423569"/>
    <s v="652169054828"/>
    <s v="Renata Cantanhede Paranhos"/>
    <s v="Gisvaldo Rodrigues Vieira"/>
    <s v="Branca"/>
    <x v="14"/>
    <x v="0"/>
    <s v="Não"/>
    <n v="0"/>
  </r>
  <r>
    <n v="27"/>
    <s v="Andrea Neto Holanda"/>
    <d v="1991-08-02T00:00:00"/>
    <x v="22"/>
    <x v="26"/>
    <s v="45654-000"/>
    <x v="22"/>
    <x v="0"/>
    <s v="4500667622"/>
    <s v="209720902724"/>
    <s v="Angelica Mendonca Neto"/>
    <s v="Elias Laranjeira Holanda"/>
    <s v="Parda"/>
    <x v="2"/>
    <x v="1"/>
    <s v="Sim"/>
    <n v="1"/>
  </r>
  <r>
    <n v="28"/>
    <s v="Ana Santos Paixao"/>
    <d v="2004-09-26T00:00:00"/>
    <x v="17"/>
    <x v="27"/>
    <s v="67013-000"/>
    <x v="23"/>
    <x v="15"/>
    <s v="5231346866"/>
    <s v="541989410831"/>
    <s v="Fabiana Negrao Santos"/>
    <s v="Gilson Moreira Paixao"/>
    <s v="Parda"/>
    <x v="0"/>
    <x v="0"/>
    <s v="Não"/>
    <n v="0"/>
  </r>
  <r>
    <n v="29"/>
    <s v="Alejandro Moreira Castello"/>
    <d v="2005-08-01T00:00:00"/>
    <x v="11"/>
    <x v="28"/>
    <s v="65606-010"/>
    <x v="24"/>
    <x v="16"/>
    <s v="4251760874"/>
    <s v="631631225973"/>
    <s v="Maria Moura Moreira"/>
    <s v="Ivanilson Mangabeira Castello"/>
    <s v="Parda"/>
    <x v="7"/>
    <x v="2"/>
    <s v="Sim"/>
    <n v="7"/>
  </r>
  <r>
    <n v="30"/>
    <s v="Deise Lucena Costa"/>
    <d v="1996-06-24T00:00:00"/>
    <x v="2"/>
    <x v="29"/>
    <s v="78550-000"/>
    <x v="25"/>
    <x v="4"/>
    <s v="2969668397"/>
    <s v="601782393208"/>
    <s v="Cora Teixeira Lucena"/>
    <s v="Guto Nogueira Costa"/>
    <s v="Amarela"/>
    <x v="0"/>
    <x v="2"/>
    <s v="Sim"/>
    <n v="1"/>
  </r>
  <r>
    <n v="31"/>
    <s v="Carina Duarte Henriques"/>
    <d v="1984-07-24T00:00:00"/>
    <x v="23"/>
    <x v="30"/>
    <s v="69151-000"/>
    <x v="26"/>
    <x v="10"/>
    <s v="5041015730"/>
    <s v="987752572940"/>
    <s v="Carmem Mangabeira Duarte"/>
    <s v="Casemiro Nascimento Henriques"/>
    <s v="Preta"/>
    <x v="12"/>
    <x v="0"/>
    <s v="Não"/>
    <n v="0"/>
  </r>
  <r>
    <n v="32"/>
    <s v="Dario Faustino Noronha"/>
    <d v="1972-04-15T00:00:00"/>
    <x v="21"/>
    <x v="31"/>
    <s v="86020-080"/>
    <x v="27"/>
    <x v="11"/>
    <s v="1012907707"/>
    <s v="695570678623"/>
    <s v="Érika Jordao Faustino"/>
    <s v="Jader Neves Noronha"/>
    <s v="Preta"/>
    <x v="7"/>
    <x v="3"/>
    <s v="Sim"/>
    <n v="3"/>
  </r>
  <r>
    <n v="33"/>
    <s v="Chantal Mascarenhas Lozano"/>
    <d v="2008-09-12T00:00:00"/>
    <x v="13"/>
    <x v="32"/>
    <s v="70340-000"/>
    <x v="28"/>
    <x v="17"/>
    <s v="0510034169"/>
    <s v="623600524107"/>
    <s v="Alexia Marques Mascarenhas"/>
    <s v="Edilson Lopes Lozano"/>
    <s v="Preta"/>
    <x v="15"/>
    <x v="3"/>
    <s v="Sim"/>
    <n v="1"/>
  </r>
  <r>
    <n v="34"/>
    <s v="Iomar Ribeiro Ferreira"/>
    <d v="2000-12-16T00:00:00"/>
    <x v="7"/>
    <x v="33"/>
    <s v="57300-040"/>
    <x v="11"/>
    <x v="9"/>
    <s v="0974699771"/>
    <s v="597062113329"/>
    <s v="Eloá Pastore Ribeiro"/>
    <s v="Chico Borges Ferreira"/>
    <s v="Branca"/>
    <x v="4"/>
    <x v="1"/>
    <s v="Não"/>
    <n v="0"/>
  </r>
  <r>
    <n v="35"/>
    <s v="Juliana Andrade Pastrocinio"/>
    <d v="1994-05-10T00:00:00"/>
    <x v="24"/>
    <x v="34"/>
    <s v="86020-080"/>
    <x v="27"/>
    <x v="11"/>
    <s v="1701201020"/>
    <s v="297262090331"/>
    <s v="Debora Antunes Andrade"/>
    <s v="Jamil Campos Pastrocinio"/>
    <s v="Branca"/>
    <x v="13"/>
    <x v="2"/>
    <s v="Sim"/>
    <n v="1"/>
  </r>
  <r>
    <n v="36"/>
    <s v="Gledson Santos Moita"/>
    <d v="2005-10-12T00:00:00"/>
    <x v="11"/>
    <x v="35"/>
    <s v="63010-010"/>
    <x v="29"/>
    <x v="18"/>
    <s v="4401209773"/>
    <s v="746396285287"/>
    <s v="Candida Giacomini Santos"/>
    <s v="Dante Mata Moita"/>
    <s v="Branca"/>
    <x v="5"/>
    <x v="4"/>
    <s v="Não"/>
    <n v="0"/>
  </r>
  <r>
    <n v="37"/>
    <s v="Jeferson Malta Moreira"/>
    <d v="1962-07-14T00:00:00"/>
    <x v="25"/>
    <x v="36"/>
    <s v="89010-001"/>
    <x v="30"/>
    <x v="19"/>
    <s v="2127563665"/>
    <s v="298805501277"/>
    <s v="Elisabete Giacomini Malta"/>
    <s v="Haroldo Magalhaes Moreira"/>
    <s v="Parda"/>
    <x v="15"/>
    <x v="2"/>
    <s v="Sim"/>
    <n v="1"/>
  </r>
  <r>
    <n v="38"/>
    <s v="Jandira Palhares Diniz"/>
    <d v="2000-09-19T00:00:00"/>
    <x v="7"/>
    <x v="37"/>
    <s v="57300-040"/>
    <x v="11"/>
    <x v="9"/>
    <s v="4582077995"/>
    <s v="321703536074"/>
    <s v="Erica Gama Palhares"/>
    <s v="Breno Carrasco Diniz"/>
    <s v="Branca"/>
    <x v="4"/>
    <x v="0"/>
    <s v="Sim"/>
    <n v="1"/>
  </r>
  <r>
    <n v="39"/>
    <s v="Caciano Moreira Godoy"/>
    <d v="1985-03-12T00:00:00"/>
    <x v="26"/>
    <x v="38"/>
    <s v="58700-010"/>
    <x v="31"/>
    <x v="20"/>
    <s v="4098934763"/>
    <s v="073123171899"/>
    <s v="Cleide Azevedo Moreira"/>
    <s v="Guto Borges Godoy"/>
    <s v="Parda"/>
    <x v="8"/>
    <x v="0"/>
    <s v="Sim"/>
    <n v="13"/>
  </r>
  <r>
    <n v="40"/>
    <s v="Hortencio Assis Espinosa"/>
    <d v="2005-09-13T00:00:00"/>
    <x v="11"/>
    <x v="39"/>
    <s v="74110-160"/>
    <x v="32"/>
    <x v="6"/>
    <s v="1685750149"/>
    <s v="005772073254"/>
    <s v="Eneida Ribeiro Assis"/>
    <s v="Adalberto Neto Espinosa"/>
    <s v="Parda"/>
    <x v="0"/>
    <x v="2"/>
    <s v="Não"/>
    <n v="0"/>
  </r>
  <r>
    <n v="41"/>
    <s v="Derick Casanova Passos"/>
    <d v="2004-08-18T00:00:00"/>
    <x v="17"/>
    <x v="40"/>
    <s v="65631-190"/>
    <x v="33"/>
    <x v="16"/>
    <s v="9932787223"/>
    <s v="083874527782"/>
    <s v="Eloá Meireles Casanova"/>
    <s v="Gilmar Nobre Passos"/>
    <s v="Parda"/>
    <x v="16"/>
    <x v="0"/>
    <s v="Não"/>
    <n v="0"/>
  </r>
  <r>
    <n v="42"/>
    <s v="Gilson Lozano Malta"/>
    <d v="1985-11-13T00:00:00"/>
    <x v="26"/>
    <x v="41"/>
    <s v="59600-005"/>
    <x v="34"/>
    <x v="1"/>
    <s v="0129906452"/>
    <s v="910375775206"/>
    <s v="Graça Dantas Lozano"/>
    <s v="Flavio Paranhos Malta"/>
    <s v="Branca"/>
    <x v="1"/>
    <x v="1"/>
    <s v="Sim"/>
    <n v="1"/>
  </r>
  <r>
    <n v="43"/>
    <s v="Ivete Brito Assis"/>
    <d v="1980-08-24T00:00:00"/>
    <x v="27"/>
    <x v="42"/>
    <s v="64800-000"/>
    <x v="6"/>
    <x v="5"/>
    <s v="4007558945"/>
    <s v="337260465568"/>
    <s v="Aura Moraes Brito"/>
    <s v="Helio Xavier Assis"/>
    <s v="Branca"/>
    <x v="12"/>
    <x v="0"/>
    <s v="Sim"/>
    <n v="1"/>
  </r>
  <r>
    <n v="44"/>
    <s v="Evandro Braga Lopes"/>
    <d v="1966-06-08T00:00:00"/>
    <x v="28"/>
    <x v="43"/>
    <s v="65900-000"/>
    <x v="35"/>
    <x v="16"/>
    <s v="3183992098"/>
    <s v="863252369426"/>
    <s v="Erica Cabral Braga"/>
    <s v="Douglas Mesquita Lopes"/>
    <s v="Preta"/>
    <x v="7"/>
    <x v="2"/>
    <s v="Sim"/>
    <n v="1"/>
  </r>
  <r>
    <n v="45"/>
    <s v="Dinorá Furquim Cantanhede"/>
    <d v="1985-10-10T00:00:00"/>
    <x v="26"/>
    <x v="44"/>
    <s v="50711-000"/>
    <x v="36"/>
    <x v="14"/>
    <s v="3291806242"/>
    <s v="012452090595"/>
    <s v="Cleonice Montenegro Furquim"/>
    <s v="Jeremias Cardoso Cantanhede"/>
    <s v="Parda"/>
    <x v="14"/>
    <x v="1"/>
    <s v="Não"/>
    <n v="0"/>
  </r>
  <r>
    <n v="46"/>
    <s v="Cloé Monforte Paes"/>
    <d v="1977-02-05T00:00:00"/>
    <x v="5"/>
    <x v="45"/>
    <s v="79800-001"/>
    <x v="4"/>
    <x v="3"/>
    <s v="2323107444"/>
    <s v="701362851514"/>
    <s v="Glauce Muricy Monforte"/>
    <s v="Jaime Rocha Paes"/>
    <s v="Parda"/>
    <x v="4"/>
    <x v="3"/>
    <s v="Sim"/>
    <n v="1"/>
  </r>
  <r>
    <n v="47"/>
    <s v="Deise Garrido Luz"/>
    <d v="1967-03-15T00:00:00"/>
    <x v="29"/>
    <x v="46"/>
    <s v="77402-010"/>
    <x v="37"/>
    <x v="21"/>
    <s v="5266158403"/>
    <s v="106478121266"/>
    <s v="Jaqueline Freire Garrido"/>
    <s v="Apostolo Soares Luz"/>
    <s v="Parda"/>
    <x v="17"/>
    <x v="0"/>
    <s v="Sim"/>
    <n v="4"/>
  </r>
  <r>
    <n v="48"/>
    <s v="Adriano Avila Barros"/>
    <d v="1965-04-06T00:00:00"/>
    <x v="30"/>
    <x v="47"/>
    <s v="25620-000"/>
    <x v="38"/>
    <x v="22"/>
    <s v="5980555244"/>
    <s v="465652167390"/>
    <s v="Emily Assuncao Avila"/>
    <s v="Januario Assis Barros"/>
    <s v="Parda"/>
    <x v="14"/>
    <x v="2"/>
    <s v="Sim"/>
    <n v="3"/>
  </r>
  <r>
    <n v="49"/>
    <s v="Bruno Campos Dias"/>
    <d v="1976-01-08T00:00:00"/>
    <x v="31"/>
    <x v="48"/>
    <s v="30120-070"/>
    <x v="39"/>
    <x v="23"/>
    <s v="1536198648"/>
    <s v="793559210361"/>
    <s v="Camila Ferreira Campos"/>
    <s v="Jacinto Cabral Dias"/>
    <s v="Parda"/>
    <x v="9"/>
    <x v="1"/>
    <s v="Não"/>
    <n v="0"/>
  </r>
  <r>
    <n v="50"/>
    <s v="Gilberto Cabral Horta"/>
    <d v="1993-06-03T00:00:00"/>
    <x v="32"/>
    <x v="49"/>
    <s v="89010-001"/>
    <x v="30"/>
    <x v="19"/>
    <s v="3102859121"/>
    <s v="543377446218"/>
    <s v="Conceição Nogueira Cabral"/>
    <s v="Arthur Assis Horta"/>
    <s v="Parda"/>
    <x v="6"/>
    <x v="4"/>
    <s v="Não"/>
    <n v="0"/>
  </r>
  <r>
    <n v="51"/>
    <s v="Dinorá Nascimento Girao"/>
    <d v="1992-07-06T00:00:00"/>
    <x v="33"/>
    <x v="50"/>
    <s v="63010-010"/>
    <x v="29"/>
    <x v="18"/>
    <s v="9171341388"/>
    <s v="603971838776"/>
    <s v="Ivonete Figueiredo Nascimento"/>
    <s v="Benicio Braga Girao"/>
    <s v="Parda"/>
    <x v="6"/>
    <x v="3"/>
    <s v="Sim"/>
    <n v="1"/>
  </r>
  <r>
    <n v="52"/>
    <s v="Daniel Cabral Horta"/>
    <d v="1994-03-05T00:00:00"/>
    <x v="24"/>
    <x v="51"/>
    <s v="72800-000"/>
    <x v="40"/>
    <x v="6"/>
    <s v="5310318253"/>
    <s v="020183372799"/>
    <s v="Carina Cunha Cabral"/>
    <s v="Leonardo Ferreira Horta"/>
    <s v="Parda"/>
    <x v="7"/>
    <x v="0"/>
    <s v="Não"/>
    <n v="0"/>
  </r>
  <r>
    <n v="53"/>
    <s v="Cordélia Bernardes Souza"/>
    <d v="1965-08-04T00:00:00"/>
    <x v="30"/>
    <x v="52"/>
    <s v="64204-035"/>
    <x v="41"/>
    <x v="5"/>
    <s v="7654985800"/>
    <s v="195193109236"/>
    <s v="Cibele Pacheco Bernardes"/>
    <s v="Felix Almeida Souza"/>
    <s v="Branca"/>
    <x v="17"/>
    <x v="2"/>
    <s v="Sim"/>
    <n v="3"/>
  </r>
  <r>
    <n v="54"/>
    <s v="Ilan Lins Cordeiro"/>
    <d v="1971-08-10T00:00:00"/>
    <x v="34"/>
    <x v="53"/>
    <s v="44002-048"/>
    <x v="42"/>
    <x v="0"/>
    <s v="0880837951"/>
    <s v="036420355889"/>
    <s v="Alexia Lourenco Lins"/>
    <s v="Haroldo Pereira Cordeiro"/>
    <s v="Branca"/>
    <x v="15"/>
    <x v="3"/>
    <s v="Não"/>
    <n v="0"/>
  </r>
  <r>
    <n v="55"/>
    <s v="Eduardo Branco Ladeira"/>
    <d v="1999-03-03T00:00:00"/>
    <x v="10"/>
    <x v="54"/>
    <s v="80060-000"/>
    <x v="43"/>
    <x v="11"/>
    <s v="0851403615"/>
    <s v="916073277002"/>
    <s v="Constança Lagos Branco"/>
    <s v="Cristovao Mendes Ladeira"/>
    <s v="Preta"/>
    <x v="18"/>
    <x v="1"/>
    <s v="Não"/>
    <n v="0"/>
  </r>
  <r>
    <n v="56"/>
    <s v="Graciela Pacheco Figueiredo"/>
    <d v="1985-03-24T00:00:00"/>
    <x v="26"/>
    <x v="55"/>
    <s v="32310-000"/>
    <x v="44"/>
    <x v="23"/>
    <s v="5979399930"/>
    <s v="758435190271"/>
    <s v="Ariane Nobrega Pacheco"/>
    <s v="Elton Cunha Figueiredo"/>
    <s v="Parda"/>
    <x v="2"/>
    <x v="3"/>
    <s v="Sim"/>
    <n v="3"/>
  </r>
  <r>
    <n v="57"/>
    <s v="Cássia Campos Carneiro"/>
    <d v="1985-12-01T00:00:00"/>
    <x v="26"/>
    <x v="56"/>
    <s v="12245-010"/>
    <x v="45"/>
    <x v="12"/>
    <s v="8184929379"/>
    <s v="627379851698"/>
    <s v="Ceres Andrade Campos"/>
    <s v="Gustavo Furquim Carneiro"/>
    <s v="Parda"/>
    <x v="13"/>
    <x v="1"/>
    <s v="Não"/>
    <n v="0"/>
  </r>
  <r>
    <n v="58"/>
    <s v="Debora Belmonte Frota"/>
    <d v="1977-04-09T00:00:00"/>
    <x v="5"/>
    <x v="57"/>
    <s v="67013-000"/>
    <x v="23"/>
    <x v="15"/>
    <s v="6417908127"/>
    <s v="190303819952"/>
    <s v="Irene Mello Belmonte"/>
    <s v="Dagoberto Palhares Frota"/>
    <s v="Preta"/>
    <x v="7"/>
    <x v="2"/>
    <s v="Sim"/>
    <n v="3"/>
  </r>
  <r>
    <n v="59"/>
    <s v="Cacilda Barreto Mascarenhas"/>
    <d v="2007-03-16T00:00:00"/>
    <x v="18"/>
    <x v="58"/>
    <s v="64800-000"/>
    <x v="6"/>
    <x v="5"/>
    <s v="6218946490"/>
    <s v="620809728203"/>
    <s v="Cícera Meireles Barreto"/>
    <s v="Breno Soares Mascarenhas"/>
    <s v="Parda"/>
    <x v="3"/>
    <x v="3"/>
    <s v="Não"/>
    <n v="0"/>
  </r>
  <r>
    <n v="60"/>
    <s v="Guilherme Lagos Antunes"/>
    <d v="2000-09-13T00:00:00"/>
    <x v="7"/>
    <x v="59"/>
    <s v="79601-001"/>
    <x v="18"/>
    <x v="3"/>
    <s v="5351624236"/>
    <s v="332183103989"/>
    <s v="Renata Silva Lagos"/>
    <s v="Breno Girao Antunes"/>
    <s v="Branca"/>
    <x v="8"/>
    <x v="2"/>
    <s v="Sim"/>
    <n v="1"/>
  </r>
  <r>
    <n v="61"/>
    <s v="Cristovao Negrao Delgado"/>
    <d v="1967-01-27T00:00:00"/>
    <x v="29"/>
    <x v="60"/>
    <s v="61600-004"/>
    <x v="46"/>
    <x v="18"/>
    <s v="6300263163"/>
    <s v="219647815576"/>
    <s v="Maria Carrasco Negrao"/>
    <s v="Benjamin Vieira Delgado"/>
    <s v="Preta"/>
    <x v="0"/>
    <x v="3"/>
    <s v="Sim"/>
    <n v="1"/>
  </r>
  <r>
    <n v="62"/>
    <s v="Rodrigo Alves Godoy"/>
    <d v="1981-11-04T00:00:00"/>
    <x v="35"/>
    <x v="61"/>
    <s v="24230-050"/>
    <x v="47"/>
    <x v="22"/>
    <s v="2895802727"/>
    <s v="517807532094"/>
    <s v="Irene Junqueira Alves"/>
    <s v="Benjamin Inacio Godoy"/>
    <s v="Branca"/>
    <x v="4"/>
    <x v="2"/>
    <s v="Sim"/>
    <n v="2"/>
  </r>
  <r>
    <n v="63"/>
    <s v="Amália Avila Barbosa"/>
    <d v="1989-01-02T00:00:00"/>
    <x v="36"/>
    <x v="62"/>
    <s v="70340-000"/>
    <x v="28"/>
    <x v="17"/>
    <s v="6535420815"/>
    <s v="965430902822"/>
    <s v="Cleusa Inacio Avila"/>
    <s v="Bernard Palhares Barbosa"/>
    <s v="Parda"/>
    <x v="17"/>
    <x v="2"/>
    <s v="Sim"/>
    <n v="3"/>
  </r>
  <r>
    <n v="64"/>
    <s v="Inacio Moreira Leal"/>
    <d v="1988-04-17T00:00:00"/>
    <x v="37"/>
    <x v="63"/>
    <s v="90010-420"/>
    <x v="48"/>
    <x v="7"/>
    <s v="7832615361"/>
    <s v="066009308030"/>
    <s v="Augusta Lacerda Moreira"/>
    <s v="Adilson Lucena Leal"/>
    <s v="Parda"/>
    <x v="3"/>
    <x v="4"/>
    <s v="Sim"/>
    <n v="2"/>
  </r>
  <r>
    <n v="65"/>
    <s v="Gelson Farias Coelho"/>
    <d v="2001-09-04T00:00:00"/>
    <x v="9"/>
    <x v="64"/>
    <s v="62010-290"/>
    <x v="49"/>
    <x v="18"/>
    <s v="9927701258"/>
    <s v="593414342485"/>
    <s v="Fátima Garrido Farias"/>
    <s v="Alan Nobre Coelho"/>
    <s v="Parda"/>
    <x v="11"/>
    <x v="2"/>
    <s v="Não"/>
    <n v="0"/>
  </r>
  <r>
    <n v="66"/>
    <s v="Fabio Muricy Ladeira"/>
    <d v="1963-07-27T00:00:00"/>
    <x v="38"/>
    <x v="65"/>
    <s v="30120-070"/>
    <x v="39"/>
    <x v="23"/>
    <s v="8004530628"/>
    <s v="846370196843"/>
    <s v="Eveline Esteves Muricy"/>
    <s v="Fred Cintra Ladeira"/>
    <s v="Branca"/>
    <x v="9"/>
    <x v="0"/>
    <s v="Sim"/>
    <n v="1"/>
  </r>
  <r>
    <n v="67"/>
    <s v="Ildo Moita Pamplona"/>
    <d v="1964-10-11T00:00:00"/>
    <x v="8"/>
    <x v="66"/>
    <s v="59140-645"/>
    <x v="50"/>
    <x v="1"/>
    <s v="9975935043"/>
    <s v="739972989843"/>
    <s v="Janice Barros Moita"/>
    <s v="Anderson Fonseca Pamplona"/>
    <s v="Branca"/>
    <x v="13"/>
    <x v="0"/>
    <s v="Não"/>
    <n v="0"/>
  </r>
  <r>
    <n v="68"/>
    <s v="Flavio Batista Domingues"/>
    <d v="1973-10-25T00:00:00"/>
    <x v="39"/>
    <x v="67"/>
    <s v="29060-235"/>
    <x v="51"/>
    <x v="24"/>
    <s v="2231768752"/>
    <s v="949641729569"/>
    <s v="Filomena Paschoal Batista"/>
    <s v="Elias Neves Domingues"/>
    <s v="Parda"/>
    <x v="7"/>
    <x v="2"/>
    <s v="Não"/>
    <n v="0"/>
  </r>
  <r>
    <n v="69"/>
    <s v="Analu Fernandes Lucena"/>
    <d v="1992-12-25T00:00:00"/>
    <x v="33"/>
    <x v="68"/>
    <s v="25010-001"/>
    <x v="52"/>
    <x v="22"/>
    <s v="6191909474"/>
    <s v="413018230204"/>
    <s v="Cleonice Garrido Fernandes"/>
    <s v="Everaldo Noronha Lucena"/>
    <s v="Preta"/>
    <x v="9"/>
    <x v="2"/>
    <s v="Não"/>
    <n v="0"/>
  </r>
  <r>
    <n v="70"/>
    <s v="Ingrid Casagrande Leal"/>
    <d v="1975-05-15T00:00:00"/>
    <x v="15"/>
    <x v="69"/>
    <s v="69980-000"/>
    <x v="53"/>
    <x v="13"/>
    <s v="7403893206"/>
    <s v="892125953926"/>
    <s v="Daiana Neves Casagrande"/>
    <s v="Alejandro Lago Leal"/>
    <s v="Parda"/>
    <x v="3"/>
    <x v="4"/>
    <s v="Sim"/>
    <n v="3"/>
  </r>
  <r>
    <n v="71"/>
    <s v="Brian Gimenez Passos"/>
    <d v="1991-01-10T00:00:00"/>
    <x v="22"/>
    <x v="70"/>
    <s v="69301-000"/>
    <x v="54"/>
    <x v="8"/>
    <s v="1609308623"/>
    <s v="111321055030"/>
    <s v="Eloá Gouveia Gimenez"/>
    <s v="Ivandro Andrade Passos"/>
    <s v="Parda"/>
    <x v="12"/>
    <x v="4"/>
    <s v="Não"/>
    <n v="0"/>
  </r>
  <r>
    <n v="72"/>
    <s v="Edson Pinto Rocha"/>
    <d v="1968-07-17T00:00:00"/>
    <x v="14"/>
    <x v="71"/>
    <s v="92200-630"/>
    <x v="9"/>
    <x v="7"/>
    <s v="8227011697"/>
    <s v="418096534980"/>
    <s v="Camila Naves Pinto"/>
    <s v="Angelo Cavalcante Rocha"/>
    <s v="Branca"/>
    <x v="6"/>
    <x v="0"/>
    <s v="Não"/>
    <n v="0"/>
  </r>
  <r>
    <n v="73"/>
    <s v="Cleusa Almeida Espinosa"/>
    <d v="1973-12-11T00:00:00"/>
    <x v="39"/>
    <x v="72"/>
    <s v="50711-000"/>
    <x v="36"/>
    <x v="14"/>
    <s v="2324940428"/>
    <s v="479688452505"/>
    <s v="Íris Malta Almeida"/>
    <s v="Elias Ortiz Espinosa"/>
    <s v="Parda"/>
    <x v="3"/>
    <x v="0"/>
    <s v="Sim"/>
    <n v="1"/>
  </r>
  <r>
    <n v="74"/>
    <s v="Candida Evangelista Holanda"/>
    <d v="1961-11-18T00:00:00"/>
    <x v="1"/>
    <x v="73"/>
    <s v="65074-199"/>
    <x v="55"/>
    <x v="16"/>
    <s v="4526162426"/>
    <s v="836017222793"/>
    <s v="Renata Mello Evangelista"/>
    <s v="Biel Marinho Holanda"/>
    <s v="Parda"/>
    <x v="15"/>
    <x v="2"/>
    <s v="Não"/>
    <n v="0"/>
  </r>
  <r>
    <n v="75"/>
    <s v="Helder Borges Lourenco"/>
    <d v="1966-05-04T00:00:00"/>
    <x v="28"/>
    <x v="74"/>
    <s v="11060-001"/>
    <x v="56"/>
    <x v="12"/>
    <s v="5839017199"/>
    <s v="878412233946"/>
    <s v="Dione Lago Borges"/>
    <s v="Charles Fraga Lourenco"/>
    <s v="Preta"/>
    <x v="9"/>
    <x v="2"/>
    <s v="Sim"/>
    <n v="1"/>
  </r>
  <r>
    <n v="76"/>
    <s v="Igor Luz Fernandes"/>
    <d v="2000-10-20T00:00:00"/>
    <x v="7"/>
    <x v="75"/>
    <s v="61900-000"/>
    <x v="57"/>
    <x v="18"/>
    <s v="5972217691"/>
    <s v="782744655474"/>
    <s v="Mariana Gaspar Luz"/>
    <s v="Edilson Nobrega Fernandes"/>
    <s v="Parda"/>
    <x v="15"/>
    <x v="2"/>
    <s v="Sim"/>
    <n v="1"/>
  </r>
  <r>
    <n v="77"/>
    <s v="Cristina Carvalho Luz"/>
    <d v="1989-11-18T00:00:00"/>
    <x v="36"/>
    <x v="76"/>
    <s v="67013-000"/>
    <x v="23"/>
    <x v="15"/>
    <s v="7958039920"/>
    <s v="656352533037"/>
    <s v="Diná Pinto Carvalho"/>
    <s v="Hamilton Cordeiro Luz"/>
    <s v="Parda"/>
    <x v="11"/>
    <x v="1"/>
    <s v="Não"/>
    <n v="0"/>
  </r>
  <r>
    <n v="78"/>
    <s v="Analu Marcondes Vieira"/>
    <d v="1992-10-21T00:00:00"/>
    <x v="33"/>
    <x v="77"/>
    <s v="69100-043"/>
    <x v="20"/>
    <x v="10"/>
    <s v="2697676763"/>
    <s v="513609435591"/>
    <s v="Delia Moraes Marcondes"/>
    <s v="Elton Esteves Vieira"/>
    <s v="Branca"/>
    <x v="0"/>
    <x v="2"/>
    <s v="Sim"/>
    <n v="4"/>
  </r>
  <r>
    <n v="79"/>
    <s v="Brigite Barbosa Antunes"/>
    <d v="1968-03-24T00:00:00"/>
    <x v="14"/>
    <x v="78"/>
    <s v="44002-048"/>
    <x v="42"/>
    <x v="0"/>
    <s v="5046564208"/>
    <s v="774038855979"/>
    <s v="Dione Guerra Barbosa"/>
    <s v="Iomar Muniz Antunes"/>
    <s v="Parda"/>
    <x v="16"/>
    <x v="0"/>
    <s v="Não"/>
    <n v="0"/>
  </r>
  <r>
    <n v="80"/>
    <s v="Afonso Frota Giacomini"/>
    <d v="1996-11-25T00:00:00"/>
    <x v="2"/>
    <x v="79"/>
    <s v="79002-074"/>
    <x v="58"/>
    <x v="3"/>
    <s v="5943677658"/>
    <s v="984286320446"/>
    <s v="Gisela Lozano Frota"/>
    <s v="Jeremias Ferreira Giacomini"/>
    <s v="Parda"/>
    <x v="6"/>
    <x v="4"/>
    <s v="Sim"/>
    <n v="1"/>
  </r>
  <r>
    <n v="81"/>
    <s v="Izabel Belmonte Cabral"/>
    <d v="2006-07-09T00:00:00"/>
    <x v="19"/>
    <x v="80"/>
    <s v="44002-048"/>
    <x v="42"/>
    <x v="0"/>
    <s v="4722418878"/>
    <s v="842707480351"/>
    <s v="Elba Nascimento Belmonte"/>
    <s v="Gilmar Azevedo Cabral"/>
    <s v="Preta"/>
    <x v="18"/>
    <x v="3"/>
    <s v="Sim"/>
    <n v="1"/>
  </r>
  <r>
    <n v="82"/>
    <s v="Aline Ribeiro Neto"/>
    <d v="1966-02-15T00:00:00"/>
    <x v="28"/>
    <x v="81"/>
    <s v="84010-000"/>
    <x v="59"/>
    <x v="11"/>
    <s v="0582767041"/>
    <s v="168095333455"/>
    <s v="Érika Delgado Ribeiro"/>
    <s v="Giordano Giacomini Neto"/>
    <s v="Branca"/>
    <x v="1"/>
    <x v="3"/>
    <s v="Não"/>
    <n v="0"/>
  </r>
  <r>
    <n v="83"/>
    <s v="Carlos Antunes Caceres"/>
    <d v="1971-04-17T00:00:00"/>
    <x v="34"/>
    <x v="82"/>
    <s v="25620-000"/>
    <x v="38"/>
    <x v="22"/>
    <s v="9971735020"/>
    <s v="965856093283"/>
    <s v="Estela Pereira Antunes"/>
    <s v="Franciscano Farias Caceres"/>
    <s v="Preta"/>
    <x v="10"/>
    <x v="0"/>
    <s v="Sim"/>
    <n v="1"/>
  </r>
  <r>
    <n v="84"/>
    <s v="Cristovao Batista Neves"/>
    <d v="1970-01-26T00:00:00"/>
    <x v="16"/>
    <x v="83"/>
    <s v="28040-706"/>
    <x v="60"/>
    <x v="22"/>
    <s v="4439986017"/>
    <s v="669895334490"/>
    <s v="Ivone Horta Batista"/>
    <s v="Alberto Franco Neves"/>
    <s v="Amarela"/>
    <x v="5"/>
    <x v="0"/>
    <s v="Não"/>
    <n v="0"/>
  </r>
  <r>
    <n v="85"/>
    <s v="Elias Cavalcante Jordao"/>
    <d v="1987-11-18T00:00:00"/>
    <x v="6"/>
    <x v="84"/>
    <s v="88015-100"/>
    <x v="61"/>
    <x v="19"/>
    <s v="2990131869"/>
    <s v="408940421716"/>
    <s v="Aparecida Nunes Cavalcante"/>
    <s v="Derick Carvalho Jordao"/>
    <s v="Branca"/>
    <x v="17"/>
    <x v="3"/>
    <s v="Não"/>
    <n v="0"/>
  </r>
  <r>
    <n v="86"/>
    <s v="Isabel Caldeira Firmeza"/>
    <d v="1962-04-11T00:00:00"/>
    <x v="25"/>
    <x v="85"/>
    <s v="88101-001"/>
    <x v="62"/>
    <x v="19"/>
    <s v="6392745460"/>
    <s v="509513599257"/>
    <s v="Gertrudes Molina Caldeira"/>
    <s v="Inacio Passos Firmeza"/>
    <s v="Preta"/>
    <x v="11"/>
    <x v="0"/>
    <s v="Sim"/>
    <n v="3"/>
  </r>
  <r>
    <n v="87"/>
    <s v="Clodoaldo Morais Passos"/>
    <d v="2002-07-25T00:00:00"/>
    <x v="40"/>
    <x v="86"/>
    <s v="69375-000"/>
    <x v="10"/>
    <x v="8"/>
    <s v="1491752948"/>
    <s v="358710328591"/>
    <s v="Daiane Chaves Morais"/>
    <s v="Edgar Montenegro Passos"/>
    <s v="Parda"/>
    <x v="12"/>
    <x v="4"/>
    <s v="Sim"/>
    <n v="1"/>
  </r>
  <r>
    <n v="88"/>
    <s v="Aparicio Meneses Vieira"/>
    <d v="1969-04-16T00:00:00"/>
    <x v="41"/>
    <x v="87"/>
    <s v="78700-050"/>
    <x v="5"/>
    <x v="4"/>
    <s v="2847585264"/>
    <s v="776732801121"/>
    <s v="Angela Cintra Meneses"/>
    <s v="Felix Jesus Vieira"/>
    <s v="Parda"/>
    <x v="9"/>
    <x v="4"/>
    <s v="Não"/>
    <n v="0"/>
  </r>
  <r>
    <n v="89"/>
    <s v="Mateus Martins Cavalcante"/>
    <d v="1997-02-22T00:00:00"/>
    <x v="4"/>
    <x v="88"/>
    <s v="69100-043"/>
    <x v="20"/>
    <x v="10"/>
    <s v="3443772997"/>
    <s v="427400214171"/>
    <s v="Dinorá Nunes Martins"/>
    <s v="Gilberto Holanda Cavalcante"/>
    <s v="Parda"/>
    <x v="4"/>
    <x v="2"/>
    <s v="Sim"/>
    <n v="1"/>
  </r>
  <r>
    <n v="90"/>
    <s v="Carminha Bueno Almeida"/>
    <d v="1990-08-02T00:00:00"/>
    <x v="42"/>
    <x v="89"/>
    <s v="68925-001"/>
    <x v="63"/>
    <x v="2"/>
    <s v="7784354834"/>
    <s v="416683326148"/>
    <s v="Janete Garrido Bueno"/>
    <s v="Elton Madureira Almeida"/>
    <s v="Parda"/>
    <x v="3"/>
    <x v="0"/>
    <s v="Sim"/>
    <n v="2"/>
  </r>
  <r>
    <n v="91"/>
    <s v="Fabiana Paixao Ortega"/>
    <d v="1996-05-23T00:00:00"/>
    <x v="2"/>
    <x v="90"/>
    <s v="59600-005"/>
    <x v="34"/>
    <x v="1"/>
    <s v="5097618981"/>
    <s v="107633512883"/>
    <s v="Larissa Guerra Paixao"/>
    <s v="Claudio Baptista Ortega"/>
    <s v="Parda"/>
    <x v="7"/>
    <x v="3"/>
    <s v="Sim"/>
    <n v="2"/>
  </r>
  <r>
    <n v="92"/>
    <s v="Aparicio Camacho Nascimento"/>
    <d v="1992-02-15T00:00:00"/>
    <x v="33"/>
    <x v="91"/>
    <s v="59020-000"/>
    <x v="1"/>
    <x v="1"/>
    <s v="4903283727"/>
    <s v="556914486397"/>
    <s v="Cícera Junqueira Camacho"/>
    <s v="Eric Passos Nascimento"/>
    <s v="Preta"/>
    <x v="2"/>
    <x v="1"/>
    <s v="Não"/>
    <n v="0"/>
  </r>
  <r>
    <n v="93"/>
    <s v="Elton Freire Mascarenhas"/>
    <d v="1967-12-02T00:00:00"/>
    <x v="29"/>
    <x v="92"/>
    <s v="27260-120"/>
    <x v="64"/>
    <x v="22"/>
    <s v="4325168925"/>
    <s v="596393790639"/>
    <s v="Constança Assis Freire"/>
    <s v="Frederico Fonseca Mascarenhas"/>
    <s v="Parda"/>
    <x v="10"/>
    <x v="1"/>
    <s v="Não"/>
    <n v="0"/>
  </r>
  <r>
    <n v="94"/>
    <s v="Brigite Garrido Montenegro"/>
    <d v="1962-10-28T00:00:00"/>
    <x v="25"/>
    <x v="93"/>
    <s v="75020-010"/>
    <x v="15"/>
    <x v="6"/>
    <s v="0617817590"/>
    <s v="918104771047"/>
    <s v="Dinorá Cardoso Garrido"/>
    <s v="Federico Paschoal Montenegro"/>
    <s v="Preta"/>
    <x v="1"/>
    <x v="0"/>
    <s v="Não"/>
    <n v="0"/>
  </r>
  <r>
    <n v="95"/>
    <s v="Chantal Moreira Palma"/>
    <d v="1989-07-01T00:00:00"/>
    <x v="36"/>
    <x v="94"/>
    <s v="68925-001"/>
    <x v="63"/>
    <x v="2"/>
    <s v="5311044852"/>
    <s v="777257216462"/>
    <s v="Cleusa Mello Moreira"/>
    <s v="Ivandro Firmeza Palma"/>
    <s v="Parda"/>
    <x v="3"/>
    <x v="3"/>
    <s v="Não"/>
    <n v="0"/>
  </r>
  <r>
    <n v="96"/>
    <s v="Brenda Brito Aranha"/>
    <d v="1980-06-02T00:00:00"/>
    <x v="27"/>
    <x v="95"/>
    <s v="88015-100"/>
    <x v="61"/>
    <x v="19"/>
    <s v="0918196294"/>
    <s v="170201580922"/>
    <s v="Arlene Cabral Brito"/>
    <s v="Demétrio Coimbra Aranha"/>
    <s v="Preta"/>
    <x v="15"/>
    <x v="4"/>
    <s v="Sim"/>
    <n v="7"/>
  </r>
  <r>
    <n v="97"/>
    <s v="Donizete Neto Monteiro"/>
    <d v="1994-06-13T00:00:00"/>
    <x v="24"/>
    <x v="96"/>
    <s v="77015-002"/>
    <x v="65"/>
    <x v="21"/>
    <s v="7024903313"/>
    <s v="633242323379"/>
    <s v="Aurelia Naves Neto"/>
    <s v="Adriano Girao Monteiro"/>
    <s v="Parda"/>
    <x v="7"/>
    <x v="1"/>
    <s v="Sim"/>
    <n v="3"/>
  </r>
  <r>
    <n v="98"/>
    <s v="Francine Maciel Dornelles"/>
    <d v="1994-04-08T00:00:00"/>
    <x v="24"/>
    <x v="97"/>
    <s v="63010-010"/>
    <x v="29"/>
    <x v="18"/>
    <s v="7343247072"/>
    <s v="458053539687"/>
    <s v="Cíntia Xavier Maciel"/>
    <s v="Guilherme Nobrega Dornelles"/>
    <s v="Branca"/>
    <x v="1"/>
    <x v="1"/>
    <s v="Sim"/>
    <n v="1"/>
  </r>
  <r>
    <n v="99"/>
    <s v="Evandro Morais Coelho"/>
    <d v="1968-12-15T00:00:00"/>
    <x v="14"/>
    <x v="98"/>
    <s v="85810-001"/>
    <x v="66"/>
    <x v="11"/>
    <s v="1605854766"/>
    <s v="064031906176"/>
    <s v="Luana Bittencourt Morais"/>
    <s v="Alexandre Paranhos Coelho"/>
    <s v="Branca"/>
    <x v="8"/>
    <x v="1"/>
    <s v="Sim"/>
    <n v="2"/>
  </r>
  <r>
    <n v="100"/>
    <s v="Renata Belmonte Malta"/>
    <d v="2002-03-17T00:00:00"/>
    <x v="40"/>
    <x v="99"/>
    <s v="25010-001"/>
    <x v="52"/>
    <x v="22"/>
    <s v="6874015413"/>
    <s v="478915619807"/>
    <s v="Almerinda Gonzaga Belmonte"/>
    <s v="Federico Bittencourt Malta"/>
    <s v="Preta"/>
    <x v="0"/>
    <x v="3"/>
    <s v="Sim"/>
    <n v="1"/>
  </r>
  <r>
    <n v="101"/>
    <s v="Benjamin Padilha Leite"/>
    <d v="2007-10-08T00:00:00"/>
    <x v="18"/>
    <x v="100"/>
    <s v="92200-630"/>
    <x v="9"/>
    <x v="7"/>
    <s v="1869956254"/>
    <s v="902212960119"/>
    <s v="Alice Coimbra Padilha"/>
    <s v="Jefferson Freitas Leite"/>
    <s v="Parda"/>
    <x v="17"/>
    <x v="2"/>
    <s v="Sim"/>
    <n v="3"/>
  </r>
  <r>
    <n v="102"/>
    <s v="Ingrid Negrao Ornellas"/>
    <d v="1985-02-22T00:00:00"/>
    <x v="26"/>
    <x v="101"/>
    <s v="59020-000"/>
    <x v="1"/>
    <x v="1"/>
    <s v="7675805135"/>
    <s v="414836884484"/>
    <s v="Geralda Soares Negrao"/>
    <s v="Geremias Machado Ornellas"/>
    <s v="Parda"/>
    <x v="13"/>
    <x v="4"/>
    <s v="Não"/>
    <n v="0"/>
  </r>
  <r>
    <n v="103"/>
    <s v="Dafne Henriques Jardim"/>
    <d v="1973-12-01T00:00:00"/>
    <x v="39"/>
    <x v="102"/>
    <s v="68005-080"/>
    <x v="67"/>
    <x v="15"/>
    <s v="2212678357"/>
    <s v="555302164208"/>
    <s v="Graziela Gentil Henriques"/>
    <s v="Galdino Castro Jardim"/>
    <s v="Parda"/>
    <x v="6"/>
    <x v="1"/>
    <s v="Não"/>
    <n v="0"/>
  </r>
  <r>
    <n v="104"/>
    <s v="Eliezer Avila Ornellas"/>
    <d v="1980-06-01T00:00:00"/>
    <x v="27"/>
    <x v="103"/>
    <s v="67013-000"/>
    <x v="23"/>
    <x v="15"/>
    <s v="9964440359"/>
    <s v="475026651555"/>
    <s v="Astrid Lousada Avila"/>
    <s v="Cassio Oliveira Ornellas"/>
    <s v="Parda"/>
    <x v="9"/>
    <x v="3"/>
    <s v="Sim"/>
    <n v="2"/>
  </r>
  <r>
    <n v="105"/>
    <s v="Dante Cordeiro Marques"/>
    <d v="1975-05-15T00:00:00"/>
    <x v="15"/>
    <x v="104"/>
    <s v="61600-004"/>
    <x v="46"/>
    <x v="18"/>
    <s v="6599632376"/>
    <s v="528806231487"/>
    <s v="Debora Ribeiro Cordeiro"/>
    <s v="Ismael Delgado Marques"/>
    <s v="Parda"/>
    <x v="13"/>
    <x v="0"/>
    <s v="Não"/>
    <n v="0"/>
  </r>
  <r>
    <n v="106"/>
    <s v="Juliana Gentil Vieira"/>
    <d v="1997-03-15T00:00:00"/>
    <x v="4"/>
    <x v="105"/>
    <s v="70340-000"/>
    <x v="28"/>
    <x v="17"/>
    <s v="3117781505"/>
    <s v="714306695558"/>
    <s v="Ana Filgueiras Gentil"/>
    <s v="Ildo Aranha Vieira"/>
    <s v="Parda"/>
    <x v="11"/>
    <x v="1"/>
    <s v="Não"/>
    <n v="0"/>
  </r>
  <r>
    <n v="107"/>
    <s v="Daniel Lucena Gama"/>
    <d v="1994-09-12T00:00:00"/>
    <x v="24"/>
    <x v="106"/>
    <s v="29165-000"/>
    <x v="68"/>
    <x v="24"/>
    <s v="6775358428"/>
    <s v="586773602643"/>
    <s v="Dulce Coimbra Lucena"/>
    <s v="Emilio Muniz Gama"/>
    <s v="Parda"/>
    <x v="6"/>
    <x v="3"/>
    <s v="Sim"/>
    <n v="1"/>
  </r>
  <r>
    <n v="108"/>
    <s v="Gilmar Jardim Moreira"/>
    <d v="1979-10-13T00:00:00"/>
    <x v="12"/>
    <x v="107"/>
    <s v="49160-000"/>
    <x v="69"/>
    <x v="25"/>
    <s v="4480635263"/>
    <s v="518276392312"/>
    <s v="Carla Assuncao Jardim"/>
    <s v="Dagoberto Mascarenhas Moreira"/>
    <s v="Branca"/>
    <x v="5"/>
    <x v="0"/>
    <s v="Não"/>
    <n v="0"/>
  </r>
  <r>
    <n v="109"/>
    <s v="Djalmir Novaes Marcondes"/>
    <d v="1987-01-01T00:00:00"/>
    <x v="6"/>
    <x v="108"/>
    <s v="67013-000"/>
    <x v="23"/>
    <x v="15"/>
    <s v="5764194447"/>
    <s v="842978208476"/>
    <s v="Cilene Azevedo Novaes"/>
    <s v="Cris Molina Marcondes"/>
    <s v="Preta"/>
    <x v="19"/>
    <x v="3"/>
    <s v="Não"/>
    <n v="0"/>
  </r>
  <r>
    <n v="110"/>
    <s v="Cassiano Souza Maciel"/>
    <d v="1962-07-26T00:00:00"/>
    <x v="25"/>
    <x v="109"/>
    <s v="90010-420"/>
    <x v="48"/>
    <x v="7"/>
    <s v="6757874583"/>
    <s v="347336973844"/>
    <s v="Fátima Lozano Souza"/>
    <s v="Amadeu Moreira Maciel"/>
    <s v="Preta"/>
    <x v="5"/>
    <x v="0"/>
    <s v="Não"/>
    <n v="0"/>
  </r>
  <r>
    <n v="111"/>
    <s v="Jader Coelho Camacho"/>
    <d v="1995-01-07T00:00:00"/>
    <x v="43"/>
    <x v="110"/>
    <s v="69050-000"/>
    <x v="12"/>
    <x v="10"/>
    <s v="6208631564"/>
    <s v="900410848732"/>
    <s v="Graciela Bello Coelho"/>
    <s v="Italo Lacerda Camacho"/>
    <s v="Amarela"/>
    <x v="0"/>
    <x v="2"/>
    <s v="Sim"/>
    <n v="1"/>
  </r>
  <r>
    <n v="112"/>
    <s v="Emanuel Pastrocinio Espinosa"/>
    <d v="1979-02-28T00:00:00"/>
    <x v="12"/>
    <x v="111"/>
    <s v="90010-420"/>
    <x v="48"/>
    <x v="7"/>
    <s v="4281970919"/>
    <s v="087141034175"/>
    <s v="Jane Brito Pastrocinio"/>
    <s v="Vitor Alves Espinosa"/>
    <s v="Preta"/>
    <x v="3"/>
    <x v="4"/>
    <s v="Sim"/>
    <n v="1"/>
  </r>
  <r>
    <n v="113"/>
    <s v="Alberto Meneses Azevedo"/>
    <d v="2001-07-18T00:00:00"/>
    <x v="9"/>
    <x v="112"/>
    <s v="57050-000"/>
    <x v="70"/>
    <x v="9"/>
    <s v="6919426945"/>
    <s v="764544223680"/>
    <s v="Eleonora Chaves Meneses"/>
    <s v="Jairo Freitas Azevedo"/>
    <s v="Parda"/>
    <x v="2"/>
    <x v="3"/>
    <s v="Sim"/>
    <n v="1"/>
  </r>
  <r>
    <n v="114"/>
    <s v="Eliseu Campos Igrejas"/>
    <d v="2000-05-23T00:00:00"/>
    <x v="7"/>
    <x v="113"/>
    <s v="61900-000"/>
    <x v="57"/>
    <x v="18"/>
    <s v="5718823472"/>
    <s v="449962996803"/>
    <s v="Aline Feitosa Campos"/>
    <s v="Fernando Passos Igrejas"/>
    <s v="Preta"/>
    <x v="14"/>
    <x v="0"/>
    <s v="Não"/>
    <n v="0"/>
  </r>
  <r>
    <n v="115"/>
    <s v="Fabiana Palma Caldas"/>
    <d v="2006-08-07T00:00:00"/>
    <x v="19"/>
    <x v="114"/>
    <s v="77501-020"/>
    <x v="71"/>
    <x v="21"/>
    <s v="9973223270"/>
    <s v="815116821167"/>
    <s v="Amélia Carneiro Palma"/>
    <s v="Alberto Bernardes Caldas"/>
    <s v="Parda"/>
    <x v="8"/>
    <x v="2"/>
    <s v="Não"/>
    <n v="0"/>
  </r>
  <r>
    <n v="116"/>
    <s v="Irene Horta Diniz"/>
    <d v="1990-03-23T00:00:00"/>
    <x v="42"/>
    <x v="115"/>
    <s v="88101-001"/>
    <x v="62"/>
    <x v="19"/>
    <s v="1308314772"/>
    <s v="073837136449"/>
    <s v="Elena Muricy Horta"/>
    <s v="Hortencio Freire Diniz"/>
    <s v="Parda"/>
    <x v="16"/>
    <x v="1"/>
    <s v="Sim"/>
    <n v="6"/>
  </r>
  <r>
    <n v="117"/>
    <s v="Jane Coelho Palma"/>
    <d v="1977-05-21T00:00:00"/>
    <x v="5"/>
    <x v="116"/>
    <s v="40060-001"/>
    <x v="0"/>
    <x v="0"/>
    <s v="2534365632"/>
    <s v="341163000645"/>
    <s v="Ariela Gama Coelho"/>
    <s v="Dario Azevedo Palma"/>
    <s v="Parda"/>
    <x v="10"/>
    <x v="2"/>
    <s v="Não"/>
    <n v="0"/>
  </r>
  <r>
    <n v="118"/>
    <s v="Arnaldo Lacerda Meneses"/>
    <d v="1976-11-09T00:00:00"/>
    <x v="31"/>
    <x v="117"/>
    <s v="65631-190"/>
    <x v="33"/>
    <x v="16"/>
    <s v="9110707842"/>
    <s v="376053057247"/>
    <s v="Eliane Cantanhede Lacerda"/>
    <s v="Giordano Nascimento Meneses"/>
    <s v="Branca"/>
    <x v="10"/>
    <x v="4"/>
    <s v="Não"/>
    <n v="0"/>
  </r>
  <r>
    <n v="119"/>
    <s v="Artur Diniz Pastrocinio"/>
    <d v="1979-07-01T00:00:00"/>
    <x v="12"/>
    <x v="118"/>
    <s v="57050-000"/>
    <x v="70"/>
    <x v="9"/>
    <s v="6860335941"/>
    <s v="362621797306"/>
    <s v="Geovana Machado Diniz"/>
    <s v="Gisvaldo Assuncao Pastrocinio"/>
    <s v="Parda"/>
    <x v="10"/>
    <x v="0"/>
    <s v="Sim"/>
    <n v="2"/>
  </r>
  <r>
    <n v="120"/>
    <s v="Ivandro Coelho Cardoso"/>
    <d v="1974-07-13T00:00:00"/>
    <x v="0"/>
    <x v="119"/>
    <s v="87013-000"/>
    <x v="13"/>
    <x v="11"/>
    <s v="2717236507"/>
    <s v="355301353680"/>
    <s v="Barbara Bernardes Coelho"/>
    <s v="Dario Batista Cardoso"/>
    <s v="Branca"/>
    <x v="8"/>
    <x v="4"/>
    <s v="Sim"/>
    <n v="1"/>
  </r>
  <r>
    <n v="121"/>
    <s v="Evandro Vieira Noval"/>
    <d v="1992-11-06T00:00:00"/>
    <x v="33"/>
    <x v="120"/>
    <s v="75901-001"/>
    <x v="8"/>
    <x v="6"/>
    <s v="1298340294"/>
    <s v="392260668285"/>
    <s v="Fátima Duarte Vieira"/>
    <s v="Federico Mendonca Noval"/>
    <s v="Parda"/>
    <x v="7"/>
    <x v="2"/>
    <s v="Sim"/>
    <n v="2"/>
  </r>
  <r>
    <n v="122"/>
    <s v="Aparicio Jardim Feitosa"/>
    <d v="1988-04-19T00:00:00"/>
    <x v="37"/>
    <x v="121"/>
    <s v="89010-001"/>
    <x v="30"/>
    <x v="19"/>
    <s v="8774596679"/>
    <s v="695814033647"/>
    <s v="Maria Fagundes Jardim"/>
    <s v="Adriano Soares Feitosa"/>
    <s v="Branca"/>
    <x v="2"/>
    <x v="2"/>
    <s v="Sim"/>
    <n v="1"/>
  </r>
  <r>
    <n v="123"/>
    <s v="Catarina Espinosa Aranha"/>
    <d v="2004-07-15T00:00:00"/>
    <x v="17"/>
    <x v="122"/>
    <s v="59300-000"/>
    <x v="72"/>
    <x v="1"/>
    <s v="0033101181"/>
    <s v="062986847743"/>
    <s v="Ione Malta Espinosa"/>
    <s v="Haroldo Medeiros Aranha"/>
    <s v="Branca"/>
    <x v="7"/>
    <x v="0"/>
    <s v="Sim"/>
    <n v="6"/>
  </r>
  <r>
    <n v="124"/>
    <s v="Thiago Araujo Rodrigues"/>
    <d v="1987-04-01T00:00:00"/>
    <x v="6"/>
    <x v="123"/>
    <s v="50711-000"/>
    <x v="36"/>
    <x v="14"/>
    <s v="0197926067"/>
    <s v="706193236575"/>
    <s v="Elba Pinto Araujo"/>
    <s v="Galdino Meneses Rodrigues"/>
    <s v="Parda"/>
    <x v="15"/>
    <x v="4"/>
    <s v="Não"/>
    <n v="0"/>
  </r>
  <r>
    <n v="125"/>
    <s v="Emerson Igrejas Franco"/>
    <d v="2002-01-06T00:00:00"/>
    <x v="40"/>
    <x v="124"/>
    <s v="96020-000"/>
    <x v="73"/>
    <x v="7"/>
    <s v="4422191912"/>
    <s v="368827067719"/>
    <s v="Juliana Jesus Igrejas"/>
    <s v="Benito Pastore Franco"/>
    <s v="Branca"/>
    <x v="7"/>
    <x v="2"/>
    <s v="Não"/>
    <n v="0"/>
  </r>
  <r>
    <n v="126"/>
    <s v="Adilson Furquim Mendes"/>
    <d v="1990-05-13T00:00:00"/>
    <x v="42"/>
    <x v="125"/>
    <s v="27260-120"/>
    <x v="64"/>
    <x v="22"/>
    <s v="1180600728"/>
    <s v="091828071324"/>
    <s v="Cláudia Padilha Furquim"/>
    <s v="Everaldo Costa Mendes"/>
    <s v="Branca"/>
    <x v="9"/>
    <x v="3"/>
    <s v="Sim"/>
    <n v="1"/>
  </r>
  <r>
    <n v="127"/>
    <s v="Cleide Pinto Madureira"/>
    <d v="1974-10-26T00:00:00"/>
    <x v="0"/>
    <x v="126"/>
    <s v="49160-000"/>
    <x v="69"/>
    <x v="25"/>
    <s v="7336540064"/>
    <s v="833462534823"/>
    <s v="Ivone Gomes Pinto"/>
    <s v="Camilo Noronha Madureira"/>
    <s v="Parda"/>
    <x v="10"/>
    <x v="1"/>
    <s v="Sim"/>
    <n v="1"/>
  </r>
  <r>
    <n v="128"/>
    <s v="Deise Monforte Fraga"/>
    <d v="1982-06-28T00:00:00"/>
    <x v="44"/>
    <x v="127"/>
    <s v="64600-000"/>
    <x v="74"/>
    <x v="5"/>
    <s v="8972875177"/>
    <s v="657634245044"/>
    <s v="Delia Malta Monforte"/>
    <s v="Felix Dantas Fraga"/>
    <s v="Branca"/>
    <x v="1"/>
    <x v="3"/>
    <s v="Não"/>
    <n v="0"/>
  </r>
  <r>
    <n v="129"/>
    <s v="Denilson Dornelles Esteves"/>
    <d v="1974-01-15T00:00:00"/>
    <x v="0"/>
    <x v="128"/>
    <s v="65631-190"/>
    <x v="33"/>
    <x v="16"/>
    <s v="5746816717"/>
    <s v="163086040112"/>
    <s v="Deise Teixeira Dornelles"/>
    <s v="Ilan Carneiro Esteves"/>
    <s v="Preta"/>
    <x v="10"/>
    <x v="2"/>
    <s v="Não"/>
    <n v="0"/>
  </r>
  <r>
    <n v="130"/>
    <s v="Gisele Ortega Castello"/>
    <d v="1982-12-11T00:00:00"/>
    <x v="44"/>
    <x v="129"/>
    <s v="76873-002"/>
    <x v="75"/>
    <x v="26"/>
    <s v="4866406434"/>
    <s v="429693738117"/>
    <s v="Barbara Lima Ortega"/>
    <s v="Aurelio Campos Castello"/>
    <s v="Parda"/>
    <x v="5"/>
    <x v="3"/>
    <s v="Não"/>
    <n v="0"/>
  </r>
  <r>
    <n v="131"/>
    <s v="Jason Borges Mello"/>
    <d v="1988-10-15T00:00:00"/>
    <x v="37"/>
    <x v="130"/>
    <s v="50711-000"/>
    <x v="36"/>
    <x v="14"/>
    <s v="4001848558"/>
    <s v="449976285471"/>
    <s v="Constança Faria Borges"/>
    <s v="Thiago Goulart Mello"/>
    <s v="Parda"/>
    <x v="1"/>
    <x v="0"/>
    <s v="Sim"/>
    <n v="1"/>
  </r>
  <r>
    <n v="132"/>
    <s v="Jeane Muniz Macedo"/>
    <d v="1986-10-21T00:00:00"/>
    <x v="45"/>
    <x v="131"/>
    <s v="78700-050"/>
    <x v="5"/>
    <x v="4"/>
    <s v="8782010210"/>
    <s v="188449190712"/>
    <s v="Isabel Rocha Muniz"/>
    <s v="Hortencio Passos Macedo"/>
    <s v="Parda"/>
    <x v="8"/>
    <x v="1"/>
    <s v="Sim"/>
    <n v="1"/>
  </r>
  <r>
    <n v="133"/>
    <s v="Edgar Gonzaga Oliveira"/>
    <d v="1973-05-01T00:00:00"/>
    <x v="39"/>
    <x v="132"/>
    <s v="58400-220"/>
    <x v="76"/>
    <x v="20"/>
    <s v="2383785597"/>
    <s v="414908677956"/>
    <s v="Isabelle Dantas Gonzaga"/>
    <s v="Leonardo Figueiredo Oliveira"/>
    <s v="Preta"/>
    <x v="2"/>
    <x v="3"/>
    <s v="Sim"/>
    <n v="1"/>
  </r>
  <r>
    <n v="134"/>
    <s v="Marcelo Fraga Guedes"/>
    <d v="2001-08-19T00:00:00"/>
    <x v="9"/>
    <x v="133"/>
    <s v="72800-000"/>
    <x v="40"/>
    <x v="6"/>
    <s v="3333472758"/>
    <s v="212377778216"/>
    <s v="Brunella Lins Fraga"/>
    <s v="Jayme Caldas Guedes"/>
    <s v="Parda"/>
    <x v="8"/>
    <x v="2"/>
    <s v="Não"/>
    <n v="0"/>
  </r>
  <r>
    <n v="135"/>
    <s v="Amara Cordeiro Dias"/>
    <d v="1966-10-06T00:00:00"/>
    <x v="28"/>
    <x v="134"/>
    <s v="96020-000"/>
    <x v="73"/>
    <x v="7"/>
    <s v="9761440442"/>
    <s v="609072597109"/>
    <s v="Araci Ortega Cordeiro"/>
    <s v="Clovis Ladeira Dias"/>
    <s v="Branca"/>
    <x v="3"/>
    <x v="2"/>
    <s v="Não"/>
    <n v="0"/>
  </r>
  <r>
    <n v="136"/>
    <s v="Ariadina Barros Nunes"/>
    <d v="2004-06-24T00:00:00"/>
    <x v="17"/>
    <x v="135"/>
    <s v="68005-080"/>
    <x v="67"/>
    <x v="15"/>
    <s v="1334314370"/>
    <s v="102222189317"/>
    <s v="Vanessa Cavalcante Barros"/>
    <s v="Arthur Firmeza Nunes"/>
    <s v="Branca"/>
    <x v="3"/>
    <x v="2"/>
    <s v="Sim"/>
    <n v="1"/>
  </r>
  <r>
    <n v="137"/>
    <s v="Andrea Lopes Antunes"/>
    <d v="1962-05-26T00:00:00"/>
    <x v="25"/>
    <x v="136"/>
    <s v="88015-100"/>
    <x v="61"/>
    <x v="19"/>
    <s v="9655158382"/>
    <s v="877671446497"/>
    <s v="Emanuela Alves Lopes"/>
    <s v="Aurelio Machado Antunes"/>
    <s v="Branca"/>
    <x v="4"/>
    <x v="3"/>
    <s v="Sim"/>
    <n v="1"/>
  </r>
  <r>
    <n v="138"/>
    <s v="David Campos Mata"/>
    <d v="1966-10-25T00:00:00"/>
    <x v="28"/>
    <x v="137"/>
    <s v="77402-010"/>
    <x v="37"/>
    <x v="21"/>
    <s v="2149377586"/>
    <s v="294464914893"/>
    <s v="Janice Pastore Campos"/>
    <s v="Jarbas Monforte Mata"/>
    <s v="Parda"/>
    <x v="16"/>
    <x v="0"/>
    <s v="Não"/>
    <n v="0"/>
  </r>
  <r>
    <n v="139"/>
    <s v="Fabiola Garcez Padilha"/>
    <d v="2003-01-17T00:00:00"/>
    <x v="20"/>
    <x v="138"/>
    <s v="57300-040"/>
    <x v="11"/>
    <x v="9"/>
    <s v="4869636504"/>
    <s v="232743045004"/>
    <s v="Ingrid Henriques Garcez"/>
    <s v="Adalberto Pastrocinio Padilha"/>
    <s v="Parda"/>
    <x v="15"/>
    <x v="4"/>
    <s v="Não"/>
    <n v="0"/>
  </r>
  <r>
    <n v="140"/>
    <s v="Leonardo Igrejas Padilha"/>
    <d v="1966-01-19T00:00:00"/>
    <x v="28"/>
    <x v="139"/>
    <s v="32310-000"/>
    <x v="44"/>
    <x v="23"/>
    <s v="3153374851"/>
    <s v="216416344838"/>
    <s v="Isadora Caldeira Igrejas"/>
    <s v="Bernard Giacomini Padilha"/>
    <s v="Branca"/>
    <x v="14"/>
    <x v="1"/>
    <s v="Sim"/>
    <n v="1"/>
  </r>
  <r>
    <n v="141"/>
    <s v="Jesse Dias Franco"/>
    <d v="1978-01-21T00:00:00"/>
    <x v="3"/>
    <x v="140"/>
    <s v="11060-001"/>
    <x v="56"/>
    <x v="12"/>
    <s v="3356377344"/>
    <s v="923720108148"/>
    <s v="Alessandra Gaspar Dias"/>
    <s v="Caciano Figueira Franco"/>
    <s v="Amarela"/>
    <x v="5"/>
    <x v="1"/>
    <s v="Não"/>
    <n v="0"/>
  </r>
  <r>
    <n v="142"/>
    <s v="Estela Palma Luz"/>
    <d v="1987-10-22T00:00:00"/>
    <x v="6"/>
    <x v="141"/>
    <s v="85851-000"/>
    <x v="77"/>
    <x v="11"/>
    <s v="6227632705"/>
    <s v="162839263202"/>
    <s v="Dagmar Guedes Palma"/>
    <s v="João Casanova Luz"/>
    <s v="Branca"/>
    <x v="8"/>
    <x v="4"/>
    <s v="Sim"/>
    <n v="3"/>
  </r>
  <r>
    <n v="143"/>
    <s v="Fernandinho Coimbra Mangabeira"/>
    <d v="1964-11-07T00:00:00"/>
    <x v="8"/>
    <x v="142"/>
    <s v="55012-290"/>
    <x v="17"/>
    <x v="14"/>
    <s v="8628368701"/>
    <s v="826988948960"/>
    <s v="Barbara Marques Coimbra"/>
    <s v="Carlos Moraes Mangabeira"/>
    <s v="Branca"/>
    <x v="6"/>
    <x v="2"/>
    <s v="Sim"/>
    <n v="1"/>
  </r>
  <r>
    <n v="144"/>
    <s v="Elena Mendes Mata"/>
    <d v="1999-10-15T00:00:00"/>
    <x v="10"/>
    <x v="143"/>
    <s v="69100-043"/>
    <x v="20"/>
    <x v="10"/>
    <s v="7747083146"/>
    <s v="040896098892"/>
    <s v="Jandira Neves Mendes"/>
    <s v="Donizete Branco Mata"/>
    <s v="Parda"/>
    <x v="7"/>
    <x v="4"/>
    <s v="Sim"/>
    <n v="3"/>
  </r>
  <r>
    <n v="145"/>
    <s v="Hugo Brito Laranjeira"/>
    <d v="2003-02-18T00:00:00"/>
    <x v="20"/>
    <x v="144"/>
    <s v="68920-000"/>
    <x v="2"/>
    <x v="2"/>
    <s v="7491832063"/>
    <s v="243671360287"/>
    <s v="Izabel Pereira Brito"/>
    <s v="Alberto Camargo Laranjeira"/>
    <s v="Branca"/>
    <x v="4"/>
    <x v="3"/>
    <s v="Não"/>
    <n v="0"/>
  </r>
  <r>
    <n v="146"/>
    <s v="Breno Luz Guerra"/>
    <d v="2005-07-08T00:00:00"/>
    <x v="11"/>
    <x v="145"/>
    <s v="44002-048"/>
    <x v="42"/>
    <x v="0"/>
    <s v="9172355063"/>
    <s v="516184485498"/>
    <s v="Evelyn Soares Luz"/>
    <s v="Claudio Marcondes Guerra"/>
    <s v="Parda"/>
    <x v="10"/>
    <x v="3"/>
    <s v="Sim"/>
    <n v="3"/>
  </r>
  <r>
    <n v="147"/>
    <s v="Ariadina Noronha Lagos"/>
    <d v="2003-03-27T00:00:00"/>
    <x v="20"/>
    <x v="146"/>
    <s v="25010-001"/>
    <x v="52"/>
    <x v="22"/>
    <s v="6004228781"/>
    <s v="922675092772"/>
    <s v="Dalila Maciel Noronha"/>
    <s v="Frederico Dias Lagos"/>
    <s v="Preta"/>
    <x v="11"/>
    <x v="3"/>
    <s v="Não"/>
    <n v="0"/>
  </r>
  <r>
    <n v="148"/>
    <s v="Edna Lacerda Pacheco"/>
    <d v="1985-03-27T00:00:00"/>
    <x v="26"/>
    <x v="147"/>
    <s v="53030-010"/>
    <x v="78"/>
    <x v="14"/>
    <s v="5344086631"/>
    <s v="094962436598"/>
    <s v="Elisa Martins Lacerda"/>
    <s v="Isaac Moura Pacheco"/>
    <s v="Branca"/>
    <x v="6"/>
    <x v="3"/>
    <s v="Não"/>
    <n v="0"/>
  </r>
  <r>
    <n v="149"/>
    <s v="Emília Branco Mendes"/>
    <d v="1982-02-20T00:00:00"/>
    <x v="44"/>
    <x v="148"/>
    <s v="90010-420"/>
    <x v="48"/>
    <x v="7"/>
    <s v="5704070173"/>
    <s v="873611206534"/>
    <s v="Dafne Nobre Branco"/>
    <s v="Herculano Fontes Mendes"/>
    <s v="Branca"/>
    <x v="10"/>
    <x v="1"/>
    <s v="Não"/>
    <n v="0"/>
  </r>
  <r>
    <n v="150"/>
    <s v="Adalberto Brito Cabral"/>
    <d v="1995-10-23T00:00:00"/>
    <x v="43"/>
    <x v="149"/>
    <s v="65631-190"/>
    <x v="33"/>
    <x v="16"/>
    <s v="8719430333"/>
    <s v="633876001048"/>
    <s v="Adriana Casanova Brito"/>
    <s v="Marcelo Godoy Cabral"/>
    <s v="Preta"/>
    <x v="16"/>
    <x v="4"/>
    <s v="Não"/>
    <n v="0"/>
  </r>
  <r>
    <n v="151"/>
    <s v="Dóris Delgado Magalhaes"/>
    <d v="2000-04-15T00:00:00"/>
    <x v="7"/>
    <x v="150"/>
    <s v="77015-002"/>
    <x v="65"/>
    <x v="21"/>
    <s v="0868644070"/>
    <s v="455500298227"/>
    <s v="Fabiana Paes Delgado"/>
    <s v="Gledson Duarte Magalhaes"/>
    <s v="Parda"/>
    <x v="10"/>
    <x v="4"/>
    <s v="Sim"/>
    <n v="1"/>
  </r>
  <r>
    <n v="152"/>
    <s v="Iracema Oliveira Moita"/>
    <d v="1972-11-10T00:00:00"/>
    <x v="21"/>
    <x v="151"/>
    <s v="32600-112"/>
    <x v="79"/>
    <x v="23"/>
    <s v="2280310437"/>
    <s v="768664792490"/>
    <s v="Isabelle Cavalcante Oliveira"/>
    <s v="Apostolo Lucena Moita"/>
    <s v="Branca"/>
    <x v="8"/>
    <x v="3"/>
    <s v="Não"/>
    <n v="0"/>
  </r>
  <r>
    <n v="153"/>
    <s v="Eliana Girao Nunes"/>
    <d v="1992-06-01T00:00:00"/>
    <x v="33"/>
    <x v="152"/>
    <s v="75020-010"/>
    <x v="15"/>
    <x v="6"/>
    <s v="1028094164"/>
    <s v="565304744035"/>
    <s v="Isabelle Pereira Girao"/>
    <s v="Felipe Mendonca Nunes"/>
    <s v="Parda"/>
    <x v="2"/>
    <x v="3"/>
    <s v="Sim"/>
    <n v="2"/>
  </r>
  <r>
    <n v="154"/>
    <s v="Jacira Gimenez Barros"/>
    <d v="1995-06-02T00:00:00"/>
    <x v="43"/>
    <x v="153"/>
    <s v="85851-000"/>
    <x v="77"/>
    <x v="11"/>
    <s v="4290674401"/>
    <s v="059860149484"/>
    <s v="Dione Cunha Gimenez"/>
    <s v="Benicio Pacheco Barros"/>
    <s v="Parda"/>
    <x v="9"/>
    <x v="0"/>
    <s v="Sim"/>
    <n v="1"/>
  </r>
  <r>
    <n v="155"/>
    <s v="Alana Carvalho Coimbra"/>
    <d v="1993-09-12T00:00:00"/>
    <x v="32"/>
    <x v="154"/>
    <s v="69900-001"/>
    <x v="16"/>
    <x v="13"/>
    <s v="1604148795"/>
    <s v="343906236498"/>
    <s v="Cássia Mata Carvalho"/>
    <s v="Clovis Delgado Coimbra"/>
    <s v="Parda"/>
    <x v="14"/>
    <x v="4"/>
    <s v="Não"/>
    <n v="0"/>
  </r>
  <r>
    <n v="156"/>
    <s v="Fabiola Almeida Horta"/>
    <d v="2003-09-28T00:00:00"/>
    <x v="20"/>
    <x v="155"/>
    <s v="59600-005"/>
    <x v="34"/>
    <x v="1"/>
    <s v="1236878072"/>
    <s v="407572355721"/>
    <s v="Ivone Palhares Almeida"/>
    <s v="Jayme Maciel Horta"/>
    <s v="Parda"/>
    <x v="8"/>
    <x v="3"/>
    <s v="Não"/>
    <n v="0"/>
  </r>
  <r>
    <n v="157"/>
    <s v="Djalmir Antunes Lima"/>
    <d v="1992-04-16T00:00:00"/>
    <x v="33"/>
    <x v="156"/>
    <s v="29146-300"/>
    <x v="80"/>
    <x v="24"/>
    <s v="9450340928"/>
    <s v="543338984104"/>
    <s v="Adriana Freitas Antunes"/>
    <s v="Rafael Garrido Lima"/>
    <s v="Parda"/>
    <x v="5"/>
    <x v="3"/>
    <s v="Sim"/>
    <n v="1"/>
  </r>
  <r>
    <n v="158"/>
    <s v="Ester Dornelles Macedo"/>
    <d v="1976-02-17T00:00:00"/>
    <x v="31"/>
    <x v="157"/>
    <s v="49160-000"/>
    <x v="69"/>
    <x v="25"/>
    <s v="8259266341"/>
    <s v="025747840543"/>
    <s v="Elisabete Jesus Dornelles"/>
    <s v="Jeferson Santos Macedo"/>
    <s v="Parda"/>
    <x v="17"/>
    <x v="4"/>
    <s v="Sim"/>
    <n v="1"/>
  </r>
  <r>
    <n v="159"/>
    <s v="Emanuela Camacho Naves"/>
    <d v="1992-07-26T00:00:00"/>
    <x v="33"/>
    <x v="158"/>
    <s v="76900-010"/>
    <x v="81"/>
    <x v="26"/>
    <s v="3374851527"/>
    <s v="356546669547"/>
    <s v="Celina Dias Camacho"/>
    <s v="Mateus Pacheco Naves"/>
    <s v="Preta"/>
    <x v="6"/>
    <x v="1"/>
    <s v="Sim"/>
    <n v="1"/>
  </r>
  <r>
    <n v="160"/>
    <s v="Fernando Noval Lourenco"/>
    <d v="2002-08-04T00:00:00"/>
    <x v="40"/>
    <x v="159"/>
    <s v="68920-000"/>
    <x v="2"/>
    <x v="2"/>
    <s v="1872131695"/>
    <s v="238333153316"/>
    <s v="Sandra Lima Noval"/>
    <s v="Jandir Magalhaes Lourenco"/>
    <s v="Parda"/>
    <x v="13"/>
    <x v="0"/>
    <s v="Sim"/>
    <n v="1"/>
  </r>
  <r>
    <n v="161"/>
    <s v="Eliane Lima Matos"/>
    <d v="1992-07-24T00:00:00"/>
    <x v="33"/>
    <x v="160"/>
    <s v="70340-000"/>
    <x v="28"/>
    <x v="17"/>
    <s v="6989667501"/>
    <s v="554755868189"/>
    <s v="Filomena Ortiz Lima"/>
    <s v="Dante Lins Matos"/>
    <s v="Preta"/>
    <x v="11"/>
    <x v="4"/>
    <s v="Não"/>
    <n v="0"/>
  </r>
  <r>
    <n v="162"/>
    <s v="Francine Camargo Jardim"/>
    <d v="1977-04-08T00:00:00"/>
    <x v="5"/>
    <x v="161"/>
    <s v="97015-510"/>
    <x v="82"/>
    <x v="7"/>
    <s v="3024254102"/>
    <s v="834058918441"/>
    <s v="Elena Campos Camargo"/>
    <s v="Ique Meireles Jardim"/>
    <s v="Preta"/>
    <x v="3"/>
    <x v="1"/>
    <s v="Sim"/>
    <n v="1"/>
  </r>
  <r>
    <n v="163"/>
    <s v="Cristiano Silva Padilha"/>
    <d v="1974-06-22T00:00:00"/>
    <x v="0"/>
    <x v="162"/>
    <s v="24230-050"/>
    <x v="47"/>
    <x v="22"/>
    <s v="1578685189"/>
    <s v="678116529350"/>
    <s v="Janice Santos Silva"/>
    <s v="Marcos Andrade Padilha"/>
    <s v="Preta"/>
    <x v="7"/>
    <x v="4"/>
    <s v="Sim"/>
    <n v="2"/>
  </r>
  <r>
    <n v="164"/>
    <s v="Carina Henriques Brito"/>
    <d v="1962-10-17T00:00:00"/>
    <x v="25"/>
    <x v="163"/>
    <s v="69375-000"/>
    <x v="10"/>
    <x v="8"/>
    <s v="8544042113"/>
    <s v="468590295938"/>
    <s v="Carolina Pereira Henriques"/>
    <s v="Italo Geraldo Brito"/>
    <s v="Preta"/>
    <x v="1"/>
    <x v="2"/>
    <s v="Não"/>
    <n v="0"/>
  </r>
  <r>
    <n v="165"/>
    <s v="Janice Igrejas Guedes"/>
    <d v="2000-03-08T00:00:00"/>
    <x v="7"/>
    <x v="164"/>
    <s v="30120-070"/>
    <x v="39"/>
    <x v="23"/>
    <s v="4214938832"/>
    <s v="622643727266"/>
    <s v="Isaura Mascarenhas Igrejas"/>
    <s v="Ilan Moura Guedes"/>
    <s v="Parda"/>
    <x v="6"/>
    <x v="0"/>
    <s v="Sim"/>
    <n v="1"/>
  </r>
  <r>
    <n v="166"/>
    <s v="Federico Franco Teixeira"/>
    <d v="1983-09-16T00:00:00"/>
    <x v="46"/>
    <x v="165"/>
    <s v="88015-100"/>
    <x v="61"/>
    <x v="19"/>
    <s v="0980716060"/>
    <s v="474751142052"/>
    <s v="Evelin Bueno Franco"/>
    <s v="Rodrigo Barros Teixeira"/>
    <s v="Preta"/>
    <x v="4"/>
    <x v="3"/>
    <s v="Sim"/>
    <n v="2"/>
  </r>
  <r>
    <n v="167"/>
    <s v="Douglas Miranda Santos"/>
    <d v="1995-02-21T00:00:00"/>
    <x v="43"/>
    <x v="166"/>
    <s v="66060-230"/>
    <x v="83"/>
    <x v="15"/>
    <s v="4239219288"/>
    <s v="189938075488"/>
    <s v="Bruna Dantas Miranda"/>
    <s v="Diego Gusmao Santos"/>
    <s v="Indígena"/>
    <x v="12"/>
    <x v="3"/>
    <s v="Não"/>
    <n v="0"/>
  </r>
  <r>
    <n v="168"/>
    <s v="Isadora Domingues Lago"/>
    <d v="1981-04-18T00:00:00"/>
    <x v="35"/>
    <x v="167"/>
    <s v="01310-100"/>
    <x v="14"/>
    <x v="12"/>
    <s v="3401499184"/>
    <s v="549400270920"/>
    <s v="Elisângela Filgueiras Domingues"/>
    <s v="Bruno Furquim Lago"/>
    <s v="Parda"/>
    <x v="2"/>
    <x v="1"/>
    <s v="Sim"/>
    <n v="1"/>
  </r>
  <r>
    <n v="169"/>
    <s v="Ariadina Lemos Aguiar"/>
    <d v="1977-12-01T00:00:00"/>
    <x v="5"/>
    <x v="168"/>
    <s v="12245-010"/>
    <x v="45"/>
    <x v="12"/>
    <s v="6721220773"/>
    <s v="340121986669"/>
    <s v="Anelise Mello Lemos"/>
    <s v="Angelo Fagundes Aguiar"/>
    <s v="Branca"/>
    <x v="0"/>
    <x v="2"/>
    <s v="Sim"/>
    <n v="1"/>
  </r>
  <r>
    <n v="170"/>
    <s v="Cristina Marques Guedes"/>
    <d v="2008-05-13T00:00:00"/>
    <x v="13"/>
    <x v="169"/>
    <s v="70340-000"/>
    <x v="28"/>
    <x v="17"/>
    <s v="1443089079"/>
    <s v="730823549245"/>
    <s v="Graciela Monteiro Marques"/>
    <s v="Fabio Camargo Guedes"/>
    <s v="Parda"/>
    <x v="11"/>
    <x v="1"/>
    <s v="Sim"/>
    <n v="2"/>
  </r>
  <r>
    <n v="171"/>
    <s v="Jeane Lozano Gaspar"/>
    <d v="2005-07-04T00:00:00"/>
    <x v="11"/>
    <x v="170"/>
    <s v="29165-000"/>
    <x v="68"/>
    <x v="24"/>
    <s v="4595208129"/>
    <s v="932621443759"/>
    <s v="Analu Borges Lozano"/>
    <s v="Ilan Gimenez Gaspar"/>
    <s v="Branca"/>
    <x v="10"/>
    <x v="1"/>
    <s v="Sim"/>
    <n v="1"/>
  </r>
  <r>
    <n v="172"/>
    <s v="Rodrigo Faria Farias"/>
    <d v="1964-09-26T00:00:00"/>
    <x v="8"/>
    <x v="171"/>
    <s v="64800-000"/>
    <x v="6"/>
    <x v="5"/>
    <s v="0907261516"/>
    <s v="526258947745"/>
    <s v="Isabelle Gouveia Faria"/>
    <s v="Glauco Avila Farias"/>
    <s v="Parda"/>
    <x v="3"/>
    <x v="2"/>
    <s v="Sim"/>
    <n v="3"/>
  </r>
  <r>
    <n v="173"/>
    <s v="Gaspar Branco Ortega"/>
    <d v="1966-05-13T00:00:00"/>
    <x v="28"/>
    <x v="172"/>
    <s v="94030-001"/>
    <x v="84"/>
    <x v="7"/>
    <s v="3737952484"/>
    <s v="499500580320"/>
    <s v="Fabiana Ornellas Branco"/>
    <s v="Aldo Cardoso Ortega"/>
    <s v="Parda"/>
    <x v="7"/>
    <x v="3"/>
    <s v="Não"/>
    <n v="0"/>
  </r>
  <r>
    <n v="174"/>
    <s v="Marcelo Ferreira Gaspar"/>
    <d v="1971-05-08T00:00:00"/>
    <x v="34"/>
    <x v="173"/>
    <s v="78117-000"/>
    <x v="85"/>
    <x v="4"/>
    <s v="0060886590"/>
    <s v="198505442622"/>
    <s v="Aida Casanova Ferreira"/>
    <s v="Galdino Marcondes Gaspar"/>
    <s v="Preta"/>
    <x v="11"/>
    <x v="4"/>
    <s v="Sim"/>
    <n v="3"/>
  </r>
  <r>
    <n v="175"/>
    <s v="Biel Gusmao Ladeira"/>
    <d v="1978-10-15T00:00:00"/>
    <x v="3"/>
    <x v="174"/>
    <s v="14010-040"/>
    <x v="86"/>
    <x v="12"/>
    <s v="0412137327"/>
    <s v="414794863401"/>
    <s v="Aparecida Maciel Gusmao"/>
    <s v="Caciano Godoy Ladeira"/>
    <s v="Branca"/>
    <x v="17"/>
    <x v="0"/>
    <s v="Não"/>
    <n v="0"/>
  </r>
  <r>
    <n v="176"/>
    <s v="Erica Aguiar Firmeza"/>
    <d v="1961-02-02T00:00:00"/>
    <x v="1"/>
    <x v="175"/>
    <s v="22021-001"/>
    <x v="87"/>
    <x v="22"/>
    <s v="1689921197"/>
    <s v="389167281853"/>
    <s v="Bruna Novaes Aguiar"/>
    <s v="Everaldo Pinto Firmeza"/>
    <s v="Branca"/>
    <x v="14"/>
    <x v="1"/>
    <s v="Sim"/>
    <n v="2"/>
  </r>
  <r>
    <n v="177"/>
    <s v="Clodoaldo Baptista Fagundes"/>
    <d v="2007-03-26T00:00:00"/>
    <x v="18"/>
    <x v="176"/>
    <s v="59140-645"/>
    <x v="50"/>
    <x v="1"/>
    <s v="6976856336"/>
    <s v="931043421441"/>
    <s v="Ivonete Noval Baptista"/>
    <s v="Adalberto Guimaraes Fagundes"/>
    <s v="Parda"/>
    <x v="14"/>
    <x v="2"/>
    <s v="Não"/>
    <n v="0"/>
  </r>
  <r>
    <n v="178"/>
    <s v="Arlene Camacho Andrade"/>
    <d v="1979-02-06T00:00:00"/>
    <x v="12"/>
    <x v="177"/>
    <s v="29146-300"/>
    <x v="80"/>
    <x v="24"/>
    <s v="4446449340"/>
    <s v="016048732815"/>
    <s v="Dirce Coelho Camacho"/>
    <s v="Iuri Moura Andrade"/>
    <s v="Preta"/>
    <x v="10"/>
    <x v="3"/>
    <s v="Não"/>
    <n v="0"/>
  </r>
  <r>
    <n v="179"/>
    <s v="Biel Machado Padilha"/>
    <d v="1986-03-08T00:00:00"/>
    <x v="45"/>
    <x v="178"/>
    <s v="69301-000"/>
    <x v="54"/>
    <x v="8"/>
    <s v="1371589434"/>
    <s v="214791966778"/>
    <s v="Sofia Costa Machado"/>
    <s v="Igor Diniz Padilha"/>
    <s v="Parda"/>
    <x v="4"/>
    <x v="0"/>
    <s v="Não"/>
    <n v="0"/>
  </r>
  <r>
    <n v="180"/>
    <s v="Fausta Lacerda Lopes"/>
    <d v="2008-08-10T00:00:00"/>
    <x v="13"/>
    <x v="179"/>
    <s v="59600-005"/>
    <x v="34"/>
    <x v="1"/>
    <s v="4853621409"/>
    <s v="130767027603"/>
    <s v="Doralice Gaspar Lacerda"/>
    <s v="Ilan Monteiro Lopes"/>
    <s v="Branca"/>
    <x v="15"/>
    <x v="0"/>
    <s v="Não"/>
    <n v="0"/>
  </r>
  <r>
    <n v="181"/>
    <s v="Eva Dantas Gomes"/>
    <d v="1971-05-26T00:00:00"/>
    <x v="34"/>
    <x v="180"/>
    <s v="89010-001"/>
    <x v="30"/>
    <x v="19"/>
    <s v="1638769265"/>
    <s v="025674395315"/>
    <s v="Dinorá Figueiredo Dantas"/>
    <s v="Hermes Caceres Gomes"/>
    <s v="Parda"/>
    <x v="6"/>
    <x v="1"/>
    <s v="Sim"/>
    <n v="2"/>
  </r>
  <r>
    <n v="182"/>
    <s v="Dalva Moraes Braga"/>
    <d v="1984-05-17T00:00:00"/>
    <x v="23"/>
    <x v="181"/>
    <s v="40060-001"/>
    <x v="0"/>
    <x v="0"/>
    <s v="8489755421"/>
    <s v="703163921746"/>
    <s v="Glauce Moura Moraes"/>
    <s v="Haroldo Domingues Braga"/>
    <s v="Preta"/>
    <x v="10"/>
    <x v="1"/>
    <s v="Sim"/>
    <n v="5"/>
  </r>
  <r>
    <n v="183"/>
    <s v="Carolina Jesus Fraga"/>
    <d v="1968-12-21T00:00:00"/>
    <x v="14"/>
    <x v="182"/>
    <s v="42801-170"/>
    <x v="88"/>
    <x v="0"/>
    <s v="7874717739"/>
    <s v="508244046918"/>
    <s v="Elza Junqueira Jesus"/>
    <s v="Gilmar Silva Fraga"/>
    <s v="Parda"/>
    <x v="15"/>
    <x v="4"/>
    <s v="Não"/>
    <n v="0"/>
  </r>
  <r>
    <n v="184"/>
    <s v="Dirce Avila Castro"/>
    <d v="2006-04-04T00:00:00"/>
    <x v="19"/>
    <x v="183"/>
    <s v="77501-020"/>
    <x v="71"/>
    <x v="21"/>
    <s v="8849677771"/>
    <s v="852616261298"/>
    <s v="Diana Freitas Avila"/>
    <s v="Anselmo Meneses Castro"/>
    <s v="Preta"/>
    <x v="14"/>
    <x v="3"/>
    <s v="Não"/>
    <n v="0"/>
  </r>
  <r>
    <n v="185"/>
    <s v="Fabiola Giacomini Domingues"/>
    <d v="2001-10-08T00:00:00"/>
    <x v="9"/>
    <x v="184"/>
    <s v="97015-510"/>
    <x v="82"/>
    <x v="7"/>
    <s v="5325770925"/>
    <s v="400794404103"/>
    <s v="Filomena Brito Giacomini"/>
    <s v="Clodoaldo Costa Domingues"/>
    <s v="Parda"/>
    <x v="13"/>
    <x v="0"/>
    <s v="Sim"/>
    <n v="1"/>
  </r>
  <r>
    <n v="186"/>
    <s v="Evelin Geraldo Casanova"/>
    <d v="1987-01-22T00:00:00"/>
    <x v="6"/>
    <x v="185"/>
    <s v="30120-070"/>
    <x v="39"/>
    <x v="23"/>
    <s v="3523087610"/>
    <s v="899613073052"/>
    <s v="Dalila Matos Geraldo"/>
    <s v="Ilan Marinho Casanova"/>
    <s v="Parda"/>
    <x v="10"/>
    <x v="1"/>
    <s v="Sim"/>
    <n v="4"/>
  </r>
  <r>
    <n v="187"/>
    <s v="Érika Carvalho Castello"/>
    <d v="1986-09-01T00:00:00"/>
    <x v="45"/>
    <x v="186"/>
    <s v="62010-290"/>
    <x v="49"/>
    <x v="18"/>
    <s v="3527905961"/>
    <s v="083620696967"/>
    <s v="Irene Gimenez Carvalho"/>
    <s v="Flavio Soares Castello"/>
    <s v="Parda"/>
    <x v="6"/>
    <x v="0"/>
    <s v="Não"/>
    <n v="0"/>
  </r>
  <r>
    <n v="188"/>
    <s v="Israel Horta Fernandes"/>
    <d v="1978-02-18T00:00:00"/>
    <x v="3"/>
    <x v="187"/>
    <s v="64600-000"/>
    <x v="74"/>
    <x v="5"/>
    <s v="8998551818"/>
    <s v="385852712699"/>
    <s v="Ingrid Casagrande Horta"/>
    <s v="Aldo Paixao Fernandes"/>
    <s v="Preta"/>
    <x v="3"/>
    <x v="3"/>
    <s v="Não"/>
    <n v="0"/>
  </r>
  <r>
    <n v="189"/>
    <s v="Isaias Camargo Dias"/>
    <d v="2006-01-12T00:00:00"/>
    <x v="19"/>
    <x v="188"/>
    <s v="12245-010"/>
    <x v="45"/>
    <x v="12"/>
    <s v="3609889794"/>
    <s v="908652658411"/>
    <s v="Isabelle Paschoal Camargo"/>
    <s v="Helder Muricy Dias"/>
    <s v="Parda"/>
    <x v="12"/>
    <x v="1"/>
    <s v="Sim"/>
    <n v="1"/>
  </r>
  <r>
    <n v="190"/>
    <s v="Alan Araujo Morais"/>
    <d v="1993-06-26T00:00:00"/>
    <x v="32"/>
    <x v="189"/>
    <s v="80060-000"/>
    <x v="43"/>
    <x v="11"/>
    <s v="7405071914"/>
    <s v="124907932777"/>
    <s v="Graciela Silva Araujo"/>
    <s v="Davi Mata Morais"/>
    <s v="Parda"/>
    <x v="13"/>
    <x v="2"/>
    <s v="Não"/>
    <n v="0"/>
  </r>
  <r>
    <n v="191"/>
    <s v="Dora Firmeza Machado"/>
    <d v="1998-11-03T00:00:00"/>
    <x v="47"/>
    <x v="190"/>
    <s v="56302-000"/>
    <x v="21"/>
    <x v="14"/>
    <s v="6512196139"/>
    <s v="348180845014"/>
    <s v="Arlene Gaspar Firmeza"/>
    <s v="Jacinto Melo Machado"/>
    <s v="Parda"/>
    <x v="0"/>
    <x v="1"/>
    <s v="Não"/>
    <n v="0"/>
  </r>
  <r>
    <n v="192"/>
    <s v="Graça Antunes Chaves"/>
    <d v="1981-07-21T00:00:00"/>
    <x v="35"/>
    <x v="191"/>
    <s v="97015-510"/>
    <x v="82"/>
    <x v="7"/>
    <s v="5135164380"/>
    <s v="266856048667"/>
    <s v="Brenda Palma Antunes"/>
    <s v="Isaias Barros Chaves"/>
    <s v="Parda"/>
    <x v="17"/>
    <x v="4"/>
    <s v="Sim"/>
    <n v="6"/>
  </r>
  <r>
    <n v="193"/>
    <s v="Clovis Firmeza Dantas"/>
    <d v="1973-02-09T00:00:00"/>
    <x v="39"/>
    <x v="192"/>
    <s v="14010-040"/>
    <x v="86"/>
    <x v="12"/>
    <s v="5836073952"/>
    <s v="121461755539"/>
    <s v="Guiomar Neto Firmeza"/>
    <s v="Jairo Souza Dantas"/>
    <s v="Branca"/>
    <x v="16"/>
    <x v="4"/>
    <s v="Sim"/>
    <n v="2"/>
  </r>
  <r>
    <n v="194"/>
    <s v="Danilo Freitas Campos"/>
    <d v="1992-09-22T00:00:00"/>
    <x v="33"/>
    <x v="193"/>
    <s v="62010-290"/>
    <x v="49"/>
    <x v="18"/>
    <s v="7234909385"/>
    <s v="862607184491"/>
    <s v="Angelina Palma Freitas"/>
    <s v="Benjamin Novaes Campos"/>
    <s v="Branca"/>
    <x v="17"/>
    <x v="3"/>
    <s v="Não"/>
    <n v="0"/>
  </r>
  <r>
    <n v="195"/>
    <s v="Iomar Lourenco Figueiredo"/>
    <d v="1968-03-12T00:00:00"/>
    <x v="14"/>
    <x v="194"/>
    <s v="69050-000"/>
    <x v="12"/>
    <x v="10"/>
    <s v="0645681183"/>
    <s v="214140350767"/>
    <s v="Amélia Maldonado Lourenco"/>
    <s v="Mateus Paranhos Figueiredo"/>
    <s v="Branca"/>
    <x v="10"/>
    <x v="2"/>
    <s v="Não"/>
    <n v="0"/>
  </r>
  <r>
    <n v="196"/>
    <s v="Clara Moita Batista"/>
    <d v="1965-03-05T00:00:00"/>
    <x v="30"/>
    <x v="195"/>
    <s v="22021-001"/>
    <x v="87"/>
    <x v="22"/>
    <s v="0766262646"/>
    <s v="348936522212"/>
    <s v="Aline Domingues Moita"/>
    <s v="Jeferson Vieira Batista"/>
    <s v="Parda"/>
    <x v="12"/>
    <x v="2"/>
    <s v="Não"/>
    <n v="0"/>
  </r>
  <r>
    <n v="197"/>
    <s v="Everton Castello Frota"/>
    <d v="1999-07-04T00:00:00"/>
    <x v="10"/>
    <x v="196"/>
    <s v="97015-510"/>
    <x v="82"/>
    <x v="7"/>
    <s v="7317149993"/>
    <s v="999811418327"/>
    <s v="Conceição Vieira Castello"/>
    <s v="Francisco Faria Frota"/>
    <s v="Branca"/>
    <x v="3"/>
    <x v="3"/>
    <s v="Não"/>
    <n v="0"/>
  </r>
  <r>
    <n v="198"/>
    <s v="Dalmo Guerra Bello"/>
    <d v="2004-01-20T00:00:00"/>
    <x v="17"/>
    <x v="197"/>
    <s v="69151-000"/>
    <x v="26"/>
    <x v="10"/>
    <s v="1626053647"/>
    <s v="428141930478"/>
    <s v="Damaris Meireles Guerra"/>
    <s v="Alan Ornellas Bello"/>
    <s v="Branca"/>
    <x v="2"/>
    <x v="3"/>
    <s v="Sim"/>
    <n v="1"/>
  </r>
  <r>
    <n v="199"/>
    <s v="Geraldo Marques Chaves"/>
    <d v="2002-06-22T00:00:00"/>
    <x v="40"/>
    <x v="198"/>
    <s v="67013-000"/>
    <x v="23"/>
    <x v="15"/>
    <s v="4608697686"/>
    <s v="140934523066"/>
    <s v="Bianca Moraes Marques"/>
    <s v="Aldo Caldas Chaves"/>
    <s v="Parda"/>
    <x v="10"/>
    <x v="1"/>
    <s v="Não"/>
    <n v="0"/>
  </r>
  <r>
    <n v="200"/>
    <s v="Galdino Branco Lins"/>
    <d v="1986-04-04T00:00:00"/>
    <x v="45"/>
    <x v="199"/>
    <s v="84010-000"/>
    <x v="59"/>
    <x v="11"/>
    <s v="8908170442"/>
    <s v="973731911268"/>
    <s v="Aurelia Miranda Branco"/>
    <s v="Erasmo Duarte Lins"/>
    <s v="Parda"/>
    <x v="10"/>
    <x v="4"/>
    <s v="Não"/>
    <n v="0"/>
  </r>
  <r>
    <n v="201"/>
    <s v="Constança Cintra Leite"/>
    <d v="1967-08-06T00:00:00"/>
    <x v="29"/>
    <x v="200"/>
    <s v="54410-010"/>
    <x v="89"/>
    <x v="14"/>
    <s v="7273243510"/>
    <s v="747004443469"/>
    <s v="Aida Morais Cintra"/>
    <s v="Eliseu Costa Leite"/>
    <s v="Parda"/>
    <x v="16"/>
    <x v="3"/>
    <s v="Não"/>
    <n v="0"/>
  </r>
  <r>
    <n v="202"/>
    <s v="Augusto Godoy Horta"/>
    <d v="1963-03-23T00:00:00"/>
    <x v="38"/>
    <x v="201"/>
    <s v="69100-043"/>
    <x v="20"/>
    <x v="10"/>
    <s v="2526670539"/>
    <s v="466485838342"/>
    <s v="Barbara Marinho Godoy"/>
    <s v="Ivanilson Caldeira Horta"/>
    <s v="Preta"/>
    <x v="0"/>
    <x v="2"/>
    <s v="Sim"/>
    <n v="1"/>
  </r>
  <r>
    <n v="203"/>
    <s v="Iomar Pinto Macedo"/>
    <d v="1978-11-13T00:00:00"/>
    <x v="3"/>
    <x v="202"/>
    <s v="57300-040"/>
    <x v="11"/>
    <x v="9"/>
    <s v="5647105460"/>
    <s v="773410258525"/>
    <s v="Irene Ladeira Pinto"/>
    <s v="Alejandro Fagundes Macedo"/>
    <s v="Branca"/>
    <x v="2"/>
    <x v="2"/>
    <s v="Não"/>
    <n v="0"/>
  </r>
  <r>
    <n v="204"/>
    <s v="Edson Goulart Lopes"/>
    <d v="1987-11-24T00:00:00"/>
    <x v="6"/>
    <x v="203"/>
    <s v="69980-000"/>
    <x v="53"/>
    <x v="13"/>
    <s v="6278675137"/>
    <s v="306049286511"/>
    <s v="Gabriela Branco Goulart"/>
    <s v="Frederico Dornelles Lopes"/>
    <s v="Parda"/>
    <x v="1"/>
    <x v="2"/>
    <s v="Não"/>
    <n v="0"/>
  </r>
  <r>
    <n v="205"/>
    <s v="Francisca Lourdes Camargo"/>
    <d v="2006-05-23T00:00:00"/>
    <x v="19"/>
    <x v="204"/>
    <s v="59600-005"/>
    <x v="34"/>
    <x v="1"/>
    <s v="2310055244"/>
    <s v="730076872607"/>
    <s v="Heloisa Garcez Lourdes"/>
    <s v="Bento Freitas Camargo"/>
    <s v="Parda"/>
    <x v="3"/>
    <x v="4"/>
    <s v="Sim"/>
    <n v="3"/>
  </r>
  <r>
    <n v="206"/>
    <s v="Danubia Feitosa Inacio"/>
    <d v="1976-05-20T00:00:00"/>
    <x v="31"/>
    <x v="205"/>
    <s v="69900-001"/>
    <x v="16"/>
    <x v="13"/>
    <s v="3994596105"/>
    <s v="517405255239"/>
    <s v="Alice Dias Feitosa"/>
    <s v="Donizete Henriques Inacio"/>
    <s v="Parda"/>
    <x v="1"/>
    <x v="0"/>
    <s v="Sim"/>
    <n v="1"/>
  </r>
  <r>
    <n v="207"/>
    <s v="Elisângela Nobre Garcez"/>
    <d v="1974-02-21T00:00:00"/>
    <x v="0"/>
    <x v="206"/>
    <s v="89010-001"/>
    <x v="30"/>
    <x v="19"/>
    <s v="5949914867"/>
    <s v="935869494751"/>
    <s v="Ariane Carrasco Nobre"/>
    <s v="Alexandre Casanova Garcez"/>
    <s v="Branca"/>
    <x v="12"/>
    <x v="0"/>
    <s v="Não"/>
    <n v="0"/>
  </r>
  <r>
    <n v="208"/>
    <s v="Elisa Assuncao Macedo"/>
    <d v="1990-07-03T00:00:00"/>
    <x v="42"/>
    <x v="207"/>
    <s v="28040-706"/>
    <x v="60"/>
    <x v="22"/>
    <s v="6965008205"/>
    <s v="971076660416"/>
    <s v="Chantal Gomes Assuncao"/>
    <s v="Emerson Duarte Macedo"/>
    <s v="Parda"/>
    <x v="3"/>
    <x v="4"/>
    <s v="Sim"/>
    <n v="1"/>
  </r>
  <r>
    <n v="209"/>
    <s v="Arlene Muniz Azevedo"/>
    <d v="1962-01-05T00:00:00"/>
    <x v="25"/>
    <x v="208"/>
    <s v="79601-001"/>
    <x v="18"/>
    <x v="3"/>
    <s v="3263470776"/>
    <s v="243282154378"/>
    <s v="Eloá Gomes Muniz"/>
    <s v="Caciano Caldeira Azevedo"/>
    <s v="Parda"/>
    <x v="5"/>
    <x v="0"/>
    <s v="Sim"/>
    <n v="2"/>
  </r>
  <r>
    <n v="210"/>
    <s v="Cleusa Assis Barreto"/>
    <d v="2006-05-25T00:00:00"/>
    <x v="19"/>
    <x v="209"/>
    <s v="79601-001"/>
    <x v="18"/>
    <x v="3"/>
    <s v="2083012290"/>
    <s v="740024173972"/>
    <s v="Augusta Macedo Assis"/>
    <s v="Caio Jordao Barreto"/>
    <s v="Branca"/>
    <x v="11"/>
    <x v="0"/>
    <s v="Sim"/>
    <n v="3"/>
  </r>
  <r>
    <n v="211"/>
    <s v="Jason Bernardes Cavalcante"/>
    <d v="1976-07-28T00:00:00"/>
    <x v="31"/>
    <x v="210"/>
    <s v="57100-000"/>
    <x v="90"/>
    <x v="9"/>
    <s v="1424963992"/>
    <s v="376786925567"/>
    <s v="Danubia Galvao Bernardes"/>
    <s v="Caciano Molina Cavalcante"/>
    <s v="Parda"/>
    <x v="15"/>
    <x v="4"/>
    <s v="Não"/>
    <n v="0"/>
  </r>
  <r>
    <n v="212"/>
    <s v="Flávia Ferreira Jordao"/>
    <d v="1987-05-10T00:00:00"/>
    <x v="6"/>
    <x v="211"/>
    <s v="11060-001"/>
    <x v="56"/>
    <x v="12"/>
    <s v="2679027066"/>
    <s v="614805927603"/>
    <s v="Patrícia Madureira Ferreira"/>
    <s v="Claudio Naves Jordao"/>
    <s v="Branca"/>
    <x v="8"/>
    <x v="3"/>
    <s v="Não"/>
    <n v="0"/>
  </r>
  <r>
    <n v="213"/>
    <s v="Derick Castello Barros"/>
    <d v="1968-11-26T00:00:00"/>
    <x v="14"/>
    <x v="212"/>
    <s v="65900-000"/>
    <x v="35"/>
    <x v="16"/>
    <s v="5370078992"/>
    <s v="874051432980"/>
    <s v="Ariela Cavalcante Castello"/>
    <s v="Denilson Ornellas Barros"/>
    <s v="Preta"/>
    <x v="17"/>
    <x v="0"/>
    <s v="Não"/>
    <n v="0"/>
  </r>
  <r>
    <n v="214"/>
    <s v="Alexia Mesquita Palma"/>
    <d v="1977-02-24T00:00:00"/>
    <x v="5"/>
    <x v="213"/>
    <s v="77501-020"/>
    <x v="71"/>
    <x v="21"/>
    <s v="7916057070"/>
    <s v="004397094328"/>
    <s v="Gertrudes Furquim Mesquita"/>
    <s v="Felix Lagos Palma"/>
    <s v="Branca"/>
    <x v="2"/>
    <x v="1"/>
    <s v="Não"/>
    <n v="0"/>
  </r>
  <r>
    <n v="215"/>
    <s v="Elton Ortiz Carvalho"/>
    <d v="1994-04-16T00:00:00"/>
    <x v="24"/>
    <x v="214"/>
    <s v="78008-000"/>
    <x v="19"/>
    <x v="4"/>
    <s v="9667383720"/>
    <s v="331032716359"/>
    <s v="Almerinda Moreira Ortiz"/>
    <s v="Antonio Monforte Carvalho"/>
    <s v="Parda"/>
    <x v="8"/>
    <x v="1"/>
    <s v="Sim"/>
    <n v="3"/>
  </r>
  <r>
    <n v="216"/>
    <s v="Delfina Teixeira Santos"/>
    <d v="1969-07-27T00:00:00"/>
    <x v="41"/>
    <x v="215"/>
    <s v="65900-000"/>
    <x v="35"/>
    <x v="16"/>
    <s v="8066866793"/>
    <s v="574033745219"/>
    <s v="Alicia Filgueiras Teixeira"/>
    <s v="Inacio Molina Santos"/>
    <s v="Preta"/>
    <x v="6"/>
    <x v="1"/>
    <s v="Sim"/>
    <n v="1"/>
  </r>
  <r>
    <n v="217"/>
    <s v="Damaris Paschoal Mangabeira"/>
    <d v="2004-02-20T00:00:00"/>
    <x v="17"/>
    <x v="216"/>
    <s v="58700-010"/>
    <x v="31"/>
    <x v="20"/>
    <s v="9253471347"/>
    <s v="710359236759"/>
    <s v="Íris Giacomini Paschoal"/>
    <s v="Henrique Almeida Mangabeira"/>
    <s v="Branca"/>
    <x v="5"/>
    <x v="2"/>
    <s v="Não"/>
    <n v="0"/>
  </r>
  <r>
    <n v="218"/>
    <s v="Eliezer Fernandes Faria"/>
    <d v="1999-05-27T00:00:00"/>
    <x v="10"/>
    <x v="217"/>
    <s v="64800-000"/>
    <x v="6"/>
    <x v="5"/>
    <s v="6102118385"/>
    <s v="384305129770"/>
    <s v="Angelina Mata Fernandes"/>
    <s v="Gisvaldo Moraes Faria"/>
    <s v="Branca"/>
    <x v="1"/>
    <x v="4"/>
    <s v="Sim"/>
    <n v="2"/>
  </r>
  <r>
    <n v="219"/>
    <s v="Elias Fonseca Marinho"/>
    <d v="1988-07-06T00:00:00"/>
    <x v="37"/>
    <x v="218"/>
    <s v="09710-010"/>
    <x v="91"/>
    <x v="12"/>
    <s v="9629965497"/>
    <s v="803677535634"/>
    <s v="Catarina Carneiro Fonseca"/>
    <s v="Gaspar Gouveia Marinho"/>
    <s v="Parda"/>
    <x v="1"/>
    <x v="4"/>
    <s v="Sim"/>
    <n v="1"/>
  </r>
  <r>
    <n v="220"/>
    <s v="Edilson Domingues Meneses"/>
    <d v="1964-02-14T00:00:00"/>
    <x v="8"/>
    <x v="219"/>
    <s v="24230-050"/>
    <x v="47"/>
    <x v="22"/>
    <s v="9042863519"/>
    <s v="810754015864"/>
    <s v="Letícia Meireles Domingues"/>
    <s v="Alberto Campos Meneses"/>
    <s v="Parda"/>
    <x v="3"/>
    <x v="0"/>
    <s v="Não"/>
    <n v="0"/>
  </r>
  <r>
    <n v="221"/>
    <s v="Almir Freitas Macedo"/>
    <d v="1985-02-14T00:00:00"/>
    <x v="26"/>
    <x v="220"/>
    <s v="59140-645"/>
    <x v="50"/>
    <x v="1"/>
    <s v="6911299503"/>
    <s v="714224166997"/>
    <s v="Cristina Carneiro Freitas"/>
    <s v="Januario Faria Macedo"/>
    <s v="Amarela"/>
    <x v="16"/>
    <x v="0"/>
    <s v="Não"/>
    <n v="0"/>
  </r>
  <r>
    <n v="222"/>
    <s v="Fernanda Rocha Coelho"/>
    <d v="1973-06-27T00:00:00"/>
    <x v="39"/>
    <x v="221"/>
    <s v="27260-120"/>
    <x v="64"/>
    <x v="22"/>
    <s v="9528686014"/>
    <s v="485279450030"/>
    <s v="Emily Bittencourt Rocha"/>
    <s v="Aurelio Duarte Coelho"/>
    <s v="Parda"/>
    <x v="1"/>
    <x v="4"/>
    <s v="Não"/>
    <n v="0"/>
  </r>
  <r>
    <n v="223"/>
    <s v="Ceres Coimbra Araujo"/>
    <d v="1985-02-26T00:00:00"/>
    <x v="26"/>
    <x v="222"/>
    <s v="29060-235"/>
    <x v="51"/>
    <x v="24"/>
    <s v="2241518926"/>
    <s v="581379025298"/>
    <s v="Dulce Coelho Coimbra"/>
    <s v="Cassiano Fagundes Araujo"/>
    <s v="Preta"/>
    <x v="7"/>
    <x v="2"/>
    <s v="Não"/>
    <n v="0"/>
  </r>
  <r>
    <n v="224"/>
    <s v="Daniel Paiva Gusmao"/>
    <d v="1980-08-07T00:00:00"/>
    <x v="27"/>
    <x v="223"/>
    <s v="92200-630"/>
    <x v="9"/>
    <x v="7"/>
    <s v="6374276652"/>
    <s v="677809043526"/>
    <s v="Filomena Nascimento Paiva"/>
    <s v="Isaias Cunha Gusmao"/>
    <s v="Parda"/>
    <x v="19"/>
    <x v="0"/>
    <s v="Sim"/>
    <n v="1"/>
  </r>
  <r>
    <n v="225"/>
    <s v="Cecília Casagrande Lemos"/>
    <d v="2005-08-01T00:00:00"/>
    <x v="11"/>
    <x v="224"/>
    <s v="94030-001"/>
    <x v="84"/>
    <x v="7"/>
    <s v="6303178366"/>
    <s v="896220286917"/>
    <s v="Fátima Inacio Casagrande"/>
    <s v="Fernandinho Pastrocinio Lemos"/>
    <s v="Branca"/>
    <x v="9"/>
    <x v="0"/>
    <s v="Sim"/>
    <n v="3"/>
  </r>
  <r>
    <n v="226"/>
    <s v="Gaston Henriques Fernandes"/>
    <d v="1965-04-27T00:00:00"/>
    <x v="30"/>
    <x v="225"/>
    <s v="69301-000"/>
    <x v="54"/>
    <x v="8"/>
    <s v="3496686959"/>
    <s v="332057841855"/>
    <s v="Heloisa Machado Henriques"/>
    <s v="Gledson Bittencourt Fernandes"/>
    <s v="Parda"/>
    <x v="2"/>
    <x v="0"/>
    <s v="Não"/>
    <n v="0"/>
  </r>
  <r>
    <n v="227"/>
    <s v="Fabricio Ladeira Martins"/>
    <d v="1967-12-02T00:00:00"/>
    <x v="29"/>
    <x v="226"/>
    <s v="28040-706"/>
    <x v="60"/>
    <x v="22"/>
    <s v="8051912167"/>
    <s v="903198458963"/>
    <s v="Elisabete Ortega Ladeira"/>
    <s v="David Marques Martins"/>
    <s v="Branca"/>
    <x v="2"/>
    <x v="0"/>
    <s v="Não"/>
    <n v="0"/>
  </r>
  <r>
    <n v="228"/>
    <s v="Herculano Geraldo Bittencourt"/>
    <d v="1972-01-06T00:00:00"/>
    <x v="21"/>
    <x v="227"/>
    <s v="58400-220"/>
    <x v="76"/>
    <x v="20"/>
    <s v="1652626751"/>
    <s v="539993546506"/>
    <s v="Glaucia Coimbra Geraldo"/>
    <s v="Guilherme Braga Bittencourt"/>
    <s v="Branca"/>
    <x v="10"/>
    <x v="3"/>
    <s v="Sim"/>
    <n v="1"/>
  </r>
  <r>
    <n v="229"/>
    <s v="Ingrid Cardoso Pinto"/>
    <d v="1964-09-27T00:00:00"/>
    <x v="8"/>
    <x v="228"/>
    <s v="29100-010"/>
    <x v="92"/>
    <x v="24"/>
    <s v="8731322997"/>
    <s v="358511588440"/>
    <s v="Dalila Nobrega Cardoso"/>
    <s v="Jairo Nogueira Pinto"/>
    <s v="Parda"/>
    <x v="10"/>
    <x v="0"/>
    <s v="Não"/>
    <n v="0"/>
  </r>
  <r>
    <n v="230"/>
    <s v="Francisco Furquim Oliveira"/>
    <d v="1997-03-09T00:00:00"/>
    <x v="4"/>
    <x v="229"/>
    <s v="53030-010"/>
    <x v="78"/>
    <x v="14"/>
    <s v="6795975383"/>
    <s v="801453189952"/>
    <s v="Eveline Fontes Furquim"/>
    <s v="Gledson Nunes Oliveira"/>
    <s v="Parda"/>
    <x v="5"/>
    <x v="0"/>
    <s v="Não"/>
    <n v="0"/>
  </r>
  <r>
    <n v="231"/>
    <s v="Carina Ortega Muricy"/>
    <d v="1973-12-24T00:00:00"/>
    <x v="39"/>
    <x v="230"/>
    <s v="78700-050"/>
    <x v="5"/>
    <x v="4"/>
    <s v="8925372761"/>
    <s v="909480901292"/>
    <s v="Ariane Pastrocinio Ortega"/>
    <s v="Ildo Garcez Muricy"/>
    <s v="Branca"/>
    <x v="7"/>
    <x v="4"/>
    <s v="Não"/>
    <n v="0"/>
  </r>
  <r>
    <n v="232"/>
    <s v="Francine Carneiro Jordao"/>
    <d v="2001-08-24T00:00:00"/>
    <x v="9"/>
    <x v="231"/>
    <s v="13012-000"/>
    <x v="93"/>
    <x v="12"/>
    <s v="9345627899"/>
    <s v="292712171307"/>
    <s v="Inês Jardim Carneiro"/>
    <s v="Helder Almeida Jordao"/>
    <s v="Branca"/>
    <x v="5"/>
    <x v="0"/>
    <s v="Sim"/>
    <n v="2"/>
  </r>
  <r>
    <n v="233"/>
    <s v="Damaris Cardoso Meneses"/>
    <d v="1976-10-07T00:00:00"/>
    <x v="31"/>
    <x v="232"/>
    <s v="64204-035"/>
    <x v="41"/>
    <x v="5"/>
    <s v="6890306987"/>
    <s v="271365439443"/>
    <s v="Erica Casagrande Cardoso"/>
    <s v="Cassiano Padilha Meneses"/>
    <s v="Branca"/>
    <x v="4"/>
    <x v="1"/>
    <s v="Sim"/>
    <n v="3"/>
  </r>
  <r>
    <n v="234"/>
    <s v="Dante Girao Camacho"/>
    <d v="1977-12-07T00:00:00"/>
    <x v="5"/>
    <x v="233"/>
    <s v="89010-001"/>
    <x v="30"/>
    <x v="19"/>
    <s v="2089164494"/>
    <s v="571105741151"/>
    <s v="Inês Goulart Girao"/>
    <s v="Beto Teixeira Camacho"/>
    <s v="Preta"/>
    <x v="16"/>
    <x v="4"/>
    <s v="Não"/>
    <n v="0"/>
  </r>
  <r>
    <n v="235"/>
    <s v="Gilson Novaes Andrade"/>
    <d v="1971-03-26T00:00:00"/>
    <x v="34"/>
    <x v="234"/>
    <s v="79601-001"/>
    <x v="18"/>
    <x v="3"/>
    <s v="4896232680"/>
    <s v="090105803273"/>
    <s v="Ceres Figueiredo Novaes"/>
    <s v="Ivanilson Campos Andrade"/>
    <s v="Preta"/>
    <x v="19"/>
    <x v="1"/>
    <s v="Sim"/>
    <n v="1"/>
  </r>
  <r>
    <n v="236"/>
    <s v="Federico Mata Frota"/>
    <d v="1989-05-03T00:00:00"/>
    <x v="36"/>
    <x v="235"/>
    <s v="64800-000"/>
    <x v="6"/>
    <x v="5"/>
    <s v="0160736673"/>
    <s v="260466530420"/>
    <s v="Fernanda Rodrigues Mata"/>
    <s v="Claudio Fernandes Frota"/>
    <s v="Branca"/>
    <x v="1"/>
    <x v="3"/>
    <s v="Não"/>
    <n v="0"/>
  </r>
  <r>
    <n v="237"/>
    <s v="Íris Filgueiras Barros"/>
    <d v="1965-04-03T00:00:00"/>
    <x v="30"/>
    <x v="236"/>
    <s v="36013-000"/>
    <x v="94"/>
    <x v="23"/>
    <s v="2217991527"/>
    <s v="641972254103"/>
    <s v="Eliana Noval Filgueiras"/>
    <s v="Heitor Borges Barros"/>
    <s v="Branca"/>
    <x v="18"/>
    <x v="0"/>
    <s v="Sim"/>
    <n v="1"/>
  </r>
  <r>
    <n v="238"/>
    <s v="Astrid Dornelles Marques"/>
    <d v="1969-03-03T00:00:00"/>
    <x v="41"/>
    <x v="237"/>
    <s v="13208-056"/>
    <x v="95"/>
    <x v="12"/>
    <s v="9507762904"/>
    <s v="057799743205"/>
    <s v="Angelica Moraes Dornelles"/>
    <s v="Cristovao Bueno Marques"/>
    <s v="Preta"/>
    <x v="16"/>
    <x v="4"/>
    <s v="Sim"/>
    <n v="3"/>
  </r>
  <r>
    <n v="239"/>
    <s v="Gilson Bernardes Matos"/>
    <d v="2000-03-25T00:00:00"/>
    <x v="7"/>
    <x v="238"/>
    <s v="64600-000"/>
    <x v="74"/>
    <x v="5"/>
    <s v="4282647428"/>
    <s v="387117153699"/>
    <s v="Ivone Pacheco Bernardes"/>
    <s v="Dagoberto Magalhaes Matos"/>
    <s v="Preta"/>
    <x v="0"/>
    <x v="3"/>
    <s v="Sim"/>
    <n v="1"/>
  </r>
  <r>
    <n v="240"/>
    <s v="Cristina Cabral Mendes"/>
    <d v="1962-01-14T00:00:00"/>
    <x v="25"/>
    <x v="239"/>
    <s v="68501-000"/>
    <x v="96"/>
    <x v="15"/>
    <s v="4509071484"/>
    <s v="868228235523"/>
    <s v="Agatha Feitosa Cabral"/>
    <s v="Biel Belmonte Mendes"/>
    <s v="Parda"/>
    <x v="4"/>
    <x v="0"/>
    <s v="Sim"/>
    <n v="1"/>
  </r>
  <r>
    <n v="241"/>
    <s v="Erico Costa Monforte"/>
    <d v="1981-02-12T00:00:00"/>
    <x v="35"/>
    <x v="240"/>
    <s v="67013-000"/>
    <x v="23"/>
    <x v="15"/>
    <s v="5515109527"/>
    <s v="940983386793"/>
    <s v="Cecília Assis Costa"/>
    <s v="Lucas Esteves Monforte"/>
    <s v="Parda"/>
    <x v="0"/>
    <x v="2"/>
    <s v="Sim"/>
    <n v="1"/>
  </r>
  <r>
    <n v="242"/>
    <s v="Janete Carrasco Andrade"/>
    <d v="1964-11-25T00:00:00"/>
    <x v="8"/>
    <x v="241"/>
    <s v="85810-001"/>
    <x v="66"/>
    <x v="11"/>
    <s v="5634441104"/>
    <s v="211079986222"/>
    <s v="Graça Nobrega Carrasco"/>
    <s v="Jayme Lemos Andrade"/>
    <s v="Parda"/>
    <x v="2"/>
    <x v="2"/>
    <s v="Não"/>
    <n v="0"/>
  </r>
  <r>
    <n v="243"/>
    <s v="Gisele Coimbra Araujo"/>
    <d v="2006-01-26T00:00:00"/>
    <x v="19"/>
    <x v="242"/>
    <s v="69151-000"/>
    <x v="26"/>
    <x v="10"/>
    <s v="6493662503"/>
    <s v="897940996076"/>
    <s v="Dóris Magalhaes Coimbra"/>
    <s v="Helio Godoy Araujo"/>
    <s v="Parda"/>
    <x v="7"/>
    <x v="0"/>
    <s v="Não"/>
    <n v="0"/>
  </r>
  <r>
    <n v="244"/>
    <s v="Marcos Lins Costa"/>
    <d v="1980-04-06T00:00:00"/>
    <x v="27"/>
    <x v="243"/>
    <s v="66060-230"/>
    <x v="83"/>
    <x v="15"/>
    <s v="0040850945"/>
    <s v="376561806886"/>
    <s v="Gertrudes Nascimento Lins"/>
    <s v="Jayme Meneses Costa"/>
    <s v="Preta"/>
    <x v="11"/>
    <x v="1"/>
    <s v="Sim"/>
    <n v="1"/>
  </r>
  <r>
    <n v="245"/>
    <s v="Claudio Paranhos Aranha"/>
    <d v="2008-01-12T00:00:00"/>
    <x v="13"/>
    <x v="225"/>
    <s v="69301-000"/>
    <x v="54"/>
    <x v="8"/>
    <s v="9798012456"/>
    <s v="031043415604"/>
    <s v="Astrid Mangabeira Paranhos"/>
    <s v="Fabiano Dornelles Aranha"/>
    <s v="Parda"/>
    <x v="2"/>
    <x v="4"/>
    <s v="Sim"/>
    <n v="1"/>
  </r>
  <r>
    <n v="246"/>
    <s v="Claudio Lucena Moraes"/>
    <d v="1989-01-03T00:00:00"/>
    <x v="36"/>
    <x v="244"/>
    <s v="69050-000"/>
    <x v="12"/>
    <x v="10"/>
    <s v="3868764818"/>
    <s v="700185097363"/>
    <s v="Gislaine Madureira Lucena"/>
    <s v="Thiago Neves Moraes"/>
    <s v="Preta"/>
    <x v="1"/>
    <x v="1"/>
    <s v="Sim"/>
    <n v="1"/>
  </r>
  <r>
    <n v="247"/>
    <s v="David Lagos Junqueira"/>
    <d v="1996-12-14T00:00:00"/>
    <x v="2"/>
    <x v="245"/>
    <s v="55012-290"/>
    <x v="17"/>
    <x v="14"/>
    <s v="7709700101"/>
    <s v="478395993841"/>
    <s v="Ana Caldeira Lagos"/>
    <s v="Clovis Malta Junqueira"/>
    <s v="Parda"/>
    <x v="11"/>
    <x v="4"/>
    <s v="Sim"/>
    <n v="1"/>
  </r>
  <r>
    <n v="248"/>
    <s v="Cleide Firmeza Rodrigues"/>
    <d v="1992-04-05T00:00:00"/>
    <x v="33"/>
    <x v="246"/>
    <s v="44002-048"/>
    <x v="42"/>
    <x v="0"/>
    <s v="2908225919"/>
    <s v="778847711865"/>
    <s v="Brunella Esteves Firmeza"/>
    <s v="Gaspar Silva Rodrigues"/>
    <s v="Parda"/>
    <x v="16"/>
    <x v="0"/>
    <s v="Sim"/>
    <n v="1"/>
  </r>
  <r>
    <n v="249"/>
    <s v="Angelica Filgueiras Montenegro"/>
    <d v="1961-05-21T00:00:00"/>
    <x v="1"/>
    <x v="247"/>
    <s v="69151-000"/>
    <x v="26"/>
    <x v="10"/>
    <s v="1565429857"/>
    <s v="518491594157"/>
    <s v="Sofia Giacomini Filgueiras"/>
    <s v="Eliseu Girao Montenegro"/>
    <s v="Preta"/>
    <x v="9"/>
    <x v="2"/>
    <s v="Sim"/>
    <n v="1"/>
  </r>
  <r>
    <n v="250"/>
    <s v="Helena Casagrande Noval"/>
    <d v="2007-08-17T00:00:00"/>
    <x v="18"/>
    <x v="248"/>
    <s v="85851-000"/>
    <x v="77"/>
    <x v="11"/>
    <s v="8571589136"/>
    <s v="947793266612"/>
    <s v="Dora Mascarenhas Casagrande"/>
    <s v="Estevao Monforte Noval"/>
    <s v="Parda"/>
    <x v="10"/>
    <x v="3"/>
    <s v="Não"/>
    <n v="0"/>
  </r>
  <r>
    <n v="251"/>
    <s v="Ana Madureira Azevedo"/>
    <d v="1971-11-21T00:00:00"/>
    <x v="34"/>
    <x v="249"/>
    <s v="85851-000"/>
    <x v="77"/>
    <x v="11"/>
    <s v="7903356443"/>
    <s v="286993801138"/>
    <s v="Cláudia Leite Madureira"/>
    <s v="Apostolo Molina Azevedo"/>
    <s v="Parda"/>
    <x v="7"/>
    <x v="4"/>
    <s v="Sim"/>
    <n v="7"/>
  </r>
  <r>
    <n v="252"/>
    <s v="Chico Igrejas Melo"/>
    <d v="1999-03-24T00:00:00"/>
    <x v="10"/>
    <x v="250"/>
    <s v="58400-220"/>
    <x v="76"/>
    <x v="20"/>
    <s v="2560593179"/>
    <s v="421495313055"/>
    <s v="Conceição Martins Igrejas"/>
    <s v="Alvaro Macedo Melo"/>
    <s v="Parda"/>
    <x v="0"/>
    <x v="1"/>
    <s v="Sim"/>
    <n v="3"/>
  </r>
  <r>
    <n v="253"/>
    <s v="Denilson Garcez Barbosa"/>
    <d v="1988-06-12T00:00:00"/>
    <x v="37"/>
    <x v="251"/>
    <s v="12245-010"/>
    <x v="45"/>
    <x v="12"/>
    <s v="9013142448"/>
    <s v="232687444329"/>
    <s v="Conceição Maldonado Garcez"/>
    <s v="Hamilton Dias Barbosa"/>
    <s v="Parda"/>
    <x v="6"/>
    <x v="3"/>
    <s v="Sim"/>
    <n v="1"/>
  </r>
  <r>
    <n v="254"/>
    <s v="Brian Ortega Ribeiro"/>
    <d v="1962-06-12T00:00:00"/>
    <x v="25"/>
    <x v="252"/>
    <s v="45023-490"/>
    <x v="3"/>
    <x v="0"/>
    <s v="9624776212"/>
    <s v="157337272756"/>
    <s v="Augusta Medeiros Ortega"/>
    <s v="Vitor Evangelista Ribeiro"/>
    <s v="Parda"/>
    <x v="0"/>
    <x v="0"/>
    <s v="Sim"/>
    <n v="3"/>
  </r>
  <r>
    <n v="255"/>
    <s v="Rafael Guedes Lucena"/>
    <d v="1977-05-28T00:00:00"/>
    <x v="5"/>
    <x v="253"/>
    <s v="58800-040"/>
    <x v="97"/>
    <x v="20"/>
    <s v="6402694233"/>
    <s v="064822770480"/>
    <s v="Andrea Moreira Guedes"/>
    <s v="Edmar Nunes Lucena"/>
    <s v="Indígena"/>
    <x v="15"/>
    <x v="3"/>
    <s v="Sim"/>
    <n v="3"/>
  </r>
  <r>
    <n v="256"/>
    <s v="Isadora Fagundes Gimenez"/>
    <d v="2005-03-27T00:00:00"/>
    <x v="11"/>
    <x v="254"/>
    <s v="58400-220"/>
    <x v="76"/>
    <x v="20"/>
    <s v="8685553503"/>
    <s v="131339989830"/>
    <s v="Dagmar Nobrega Fagundes"/>
    <s v="Emanuel Godoy Gimenez"/>
    <s v="Branca"/>
    <x v="2"/>
    <x v="3"/>
    <s v="Não"/>
    <n v="0"/>
  </r>
  <r>
    <n v="257"/>
    <s v="Alicia Farias Pastore"/>
    <d v="1979-01-25T00:00:00"/>
    <x v="12"/>
    <x v="255"/>
    <s v="28040-706"/>
    <x v="60"/>
    <x v="22"/>
    <s v="5534063575"/>
    <s v="060772902901"/>
    <s v="Eliane Pereira Farias"/>
    <s v="Franciscano Pamplona Pastore"/>
    <s v="Parda"/>
    <x v="10"/>
    <x v="1"/>
    <s v="Sim"/>
    <n v="1"/>
  </r>
  <r>
    <n v="258"/>
    <s v="Ivete Moraes Fernandes"/>
    <d v="2006-09-03T00:00:00"/>
    <x v="19"/>
    <x v="256"/>
    <s v="64001-020"/>
    <x v="7"/>
    <x v="5"/>
    <s v="9544893796"/>
    <s v="685568239076"/>
    <s v="Janice Gama Moraes"/>
    <s v="André Pacheco Fernandes"/>
    <s v="Branca"/>
    <x v="6"/>
    <x v="4"/>
    <s v="Não"/>
    <n v="0"/>
  </r>
  <r>
    <n v="259"/>
    <s v="Danilo Aguiar Guedes"/>
    <d v="1995-07-12T00:00:00"/>
    <x v="43"/>
    <x v="257"/>
    <s v="38400-112"/>
    <x v="98"/>
    <x v="23"/>
    <s v="0198838985"/>
    <s v="283718929341"/>
    <s v="Dagmar Monteiro Aguiar"/>
    <s v="Francisco Caldas Guedes"/>
    <s v="Branca"/>
    <x v="1"/>
    <x v="4"/>
    <s v="Não"/>
    <n v="0"/>
  </r>
  <r>
    <n v="260"/>
    <s v="Angelina Barreto Meneses"/>
    <d v="1965-04-18T00:00:00"/>
    <x v="30"/>
    <x v="258"/>
    <s v="24230-050"/>
    <x v="47"/>
    <x v="22"/>
    <s v="9715947859"/>
    <s v="403808684251"/>
    <s v="Doralice Guedes Barreto"/>
    <s v="Iuri Pamplona Meneses"/>
    <s v="Parda"/>
    <x v="5"/>
    <x v="3"/>
    <s v="Sim"/>
    <n v="1"/>
  </r>
  <r>
    <n v="261"/>
    <s v="Eliezer Feitosa Gouveia"/>
    <d v="1994-04-21T00:00:00"/>
    <x v="24"/>
    <x v="259"/>
    <s v="12245-010"/>
    <x v="45"/>
    <x v="12"/>
    <s v="5699636983"/>
    <s v="504167982056"/>
    <s v="Bianca Moraes Feitosa"/>
    <s v="Bernard Carneiro Gouveia"/>
    <s v="Parda"/>
    <x v="12"/>
    <x v="4"/>
    <s v="Sim"/>
    <n v="2"/>
  </r>
  <r>
    <n v="262"/>
    <s v="Isadora Meneses Moreira"/>
    <d v="2007-10-25T00:00:00"/>
    <x v="18"/>
    <x v="260"/>
    <s v="59020-000"/>
    <x v="1"/>
    <x v="1"/>
    <s v="5350473395"/>
    <s v="435774574405"/>
    <s v="Cecília Machado Meneses"/>
    <s v="Cassio Farias Moreira"/>
    <s v="Branca"/>
    <x v="6"/>
    <x v="4"/>
    <s v="Não"/>
    <n v="0"/>
  </r>
  <r>
    <n v="263"/>
    <s v="Flavio Freitas Gama"/>
    <d v="1964-05-24T00:00:00"/>
    <x v="8"/>
    <x v="261"/>
    <s v="84010-000"/>
    <x v="59"/>
    <x v="11"/>
    <s v="4746906680"/>
    <s v="303521891944"/>
    <s v="Cícera Guerra Freitas"/>
    <s v="Eliezer Santos Gama"/>
    <s v="Preta"/>
    <x v="2"/>
    <x v="3"/>
    <s v="Sim"/>
    <n v="9"/>
  </r>
  <r>
    <n v="264"/>
    <s v="Agatha Melo Brito"/>
    <d v="1997-09-08T00:00:00"/>
    <x v="4"/>
    <x v="262"/>
    <s v="78117-000"/>
    <x v="85"/>
    <x v="4"/>
    <s v="0273741880"/>
    <s v="233500979057"/>
    <s v="Isadora Vieira Melo"/>
    <s v="Giovanni Lourdes Brito"/>
    <s v="Parda"/>
    <x v="12"/>
    <x v="2"/>
    <s v="Sim"/>
    <n v="2"/>
  </r>
  <r>
    <n v="265"/>
    <s v="Elba Bello Guimaraes"/>
    <d v="1979-07-20T00:00:00"/>
    <x v="12"/>
    <x v="263"/>
    <s v="55012-290"/>
    <x v="17"/>
    <x v="14"/>
    <s v="0784438174"/>
    <s v="090598160241"/>
    <s v="Aparecida Santos Bello"/>
    <s v="Fabricio Barros Guimaraes"/>
    <s v="Preta"/>
    <x v="3"/>
    <x v="4"/>
    <s v="Sim"/>
    <n v="3"/>
  </r>
  <r>
    <n v="266"/>
    <s v="Glaucia Novaes Barreto"/>
    <d v="1984-11-07T00:00:00"/>
    <x v="23"/>
    <x v="264"/>
    <s v="77015-002"/>
    <x v="65"/>
    <x v="21"/>
    <s v="3587101451"/>
    <s v="125963672243"/>
    <s v="Inês Lacerda Novaes"/>
    <s v="Rafael Nunes Barreto"/>
    <s v="Parda"/>
    <x v="16"/>
    <x v="1"/>
    <s v="Sim"/>
    <n v="2"/>
  </r>
  <r>
    <n v="267"/>
    <s v="Briana Fagundes Lemos"/>
    <d v="1977-12-23T00:00:00"/>
    <x v="5"/>
    <x v="265"/>
    <s v="68501-000"/>
    <x v="96"/>
    <x v="15"/>
    <s v="8256866449"/>
    <s v="710879768645"/>
    <s v="Amélia Rocha Fagundes"/>
    <s v="Demétrio Aguiar Lemos"/>
    <s v="Parda"/>
    <x v="11"/>
    <x v="0"/>
    <s v="Não"/>
    <n v="0"/>
  </r>
  <r>
    <n v="268"/>
    <s v="João Ortega Lopes"/>
    <d v="2005-09-13T00:00:00"/>
    <x v="11"/>
    <x v="266"/>
    <s v="64600-000"/>
    <x v="74"/>
    <x v="5"/>
    <s v="3323157674"/>
    <s v="952906052021"/>
    <s v="Ivonete Monteiro Ortega"/>
    <s v="Gian Esteves Lopes"/>
    <s v="Branca"/>
    <x v="5"/>
    <x v="4"/>
    <s v="Não"/>
    <n v="0"/>
  </r>
  <r>
    <n v="269"/>
    <s v="Ivanilson Ribeiro Mangabeira"/>
    <d v="1979-12-16T00:00:00"/>
    <x v="12"/>
    <x v="267"/>
    <s v="30120-070"/>
    <x v="39"/>
    <x v="23"/>
    <s v="8160394868"/>
    <s v="560492865949"/>
    <s v="Debora Ortiz Ribeiro"/>
    <s v="Breno Marques Mangabeira"/>
    <s v="Preta"/>
    <x v="8"/>
    <x v="3"/>
    <s v="Sim"/>
    <n v="1"/>
  </r>
  <r>
    <n v="270"/>
    <s v="Jason Naves Bueno"/>
    <d v="2007-10-04T00:00:00"/>
    <x v="18"/>
    <x v="268"/>
    <s v="01310-100"/>
    <x v="14"/>
    <x v="12"/>
    <s v="3526739095"/>
    <s v="680061540875"/>
    <s v="Graça Lopes Naves"/>
    <s v="Cristovao Melo Bueno"/>
    <s v="Preta"/>
    <x v="18"/>
    <x v="0"/>
    <s v="Sim"/>
    <n v="3"/>
  </r>
  <r>
    <n v="271"/>
    <s v="Almir Pastrocinio Camargo"/>
    <d v="1977-07-24T00:00:00"/>
    <x v="5"/>
    <x v="269"/>
    <s v="29100-010"/>
    <x v="92"/>
    <x v="24"/>
    <s v="5073941397"/>
    <s v="556397067881"/>
    <s v="Sandra Dantas Pastrocinio"/>
    <s v="Estevao Dornelles Camargo"/>
    <s v="Parda"/>
    <x v="3"/>
    <x v="1"/>
    <s v="Sim"/>
    <n v="1"/>
  </r>
  <r>
    <n v="272"/>
    <s v="Emanuela Teixeira Monforte"/>
    <d v="1981-08-19T00:00:00"/>
    <x v="35"/>
    <x v="270"/>
    <s v="69301-000"/>
    <x v="54"/>
    <x v="8"/>
    <s v="5497568723"/>
    <s v="726122425581"/>
    <s v="Gertrudes Antunes Teixeira"/>
    <s v="Brian Belmonte Monforte"/>
    <s v="Preta"/>
    <x v="14"/>
    <x v="3"/>
    <s v="Não"/>
    <n v="0"/>
  </r>
  <r>
    <n v="273"/>
    <s v="Fabio Castello Maldonado"/>
    <d v="1989-05-16T00:00:00"/>
    <x v="36"/>
    <x v="271"/>
    <s v="01310-100"/>
    <x v="14"/>
    <x v="12"/>
    <s v="3531223952"/>
    <s v="285318875982"/>
    <s v="Berenice Matos Castello"/>
    <s v="Franciscano Lago Maldonado"/>
    <s v="Indígena"/>
    <x v="15"/>
    <x v="3"/>
    <s v="Não"/>
    <n v="0"/>
  </r>
  <r>
    <n v="274"/>
    <s v="Ismael Jardim Ribeiro"/>
    <d v="1984-02-17T00:00:00"/>
    <x v="23"/>
    <x v="272"/>
    <s v="64001-020"/>
    <x v="7"/>
    <x v="5"/>
    <s v="1798113821"/>
    <s v="774882489080"/>
    <s v="Elena Assuncao Jardim"/>
    <s v="Jasper Girao Ribeiro"/>
    <s v="Parda"/>
    <x v="17"/>
    <x v="3"/>
    <s v="Sim"/>
    <n v="5"/>
  </r>
  <r>
    <n v="275"/>
    <s v="Glauco Figueira Lozano"/>
    <d v="1993-09-03T00:00:00"/>
    <x v="32"/>
    <x v="273"/>
    <s v="66060-230"/>
    <x v="83"/>
    <x v="15"/>
    <s v="4405778654"/>
    <s v="835518462571"/>
    <s v="Diná Cantanhede Figueira"/>
    <s v="Clovis Franco Lozano"/>
    <s v="Preta"/>
    <x v="19"/>
    <x v="2"/>
    <s v="Não"/>
    <n v="0"/>
  </r>
  <r>
    <n v="276"/>
    <s v="Janaina Esteves Paes"/>
    <d v="1975-04-06T00:00:00"/>
    <x v="15"/>
    <x v="274"/>
    <s v="70340-000"/>
    <x v="28"/>
    <x v="17"/>
    <s v="0865516743"/>
    <s v="155296565243"/>
    <s v="Berenice Barros Esteves"/>
    <s v="Helio Meireles Paes"/>
    <s v="Parda"/>
    <x v="6"/>
    <x v="0"/>
    <s v="Não"/>
    <n v="0"/>
  </r>
  <r>
    <n v="277"/>
    <s v="Cibele Gentil Nogueira"/>
    <d v="1982-04-27T00:00:00"/>
    <x v="44"/>
    <x v="275"/>
    <s v="95010-000"/>
    <x v="99"/>
    <x v="7"/>
    <s v="5529489196"/>
    <s v="852029257189"/>
    <s v="Almerinda Bittencourt Gentil"/>
    <s v="Jason Paixao Nogueira"/>
    <s v="Parda"/>
    <x v="0"/>
    <x v="2"/>
    <s v="Não"/>
    <n v="0"/>
  </r>
  <r>
    <n v="278"/>
    <s v="Carolina Moita Lagos"/>
    <d v="2001-03-07T00:00:00"/>
    <x v="9"/>
    <x v="276"/>
    <s v="78550-000"/>
    <x v="25"/>
    <x v="4"/>
    <s v="4070708025"/>
    <s v="892796445573"/>
    <s v="Carolina Muniz Moita"/>
    <s v="Gilmar Inacio Lagos"/>
    <s v="Parda"/>
    <x v="2"/>
    <x v="3"/>
    <s v="Sim"/>
    <n v="5"/>
  </r>
  <r>
    <n v="279"/>
    <s v="Diego Muniz Miranda"/>
    <d v="1997-06-18T00:00:00"/>
    <x v="4"/>
    <x v="277"/>
    <s v="61600-004"/>
    <x v="46"/>
    <x v="18"/>
    <s v="7105761875"/>
    <s v="206849135237"/>
    <s v="Clarice Negrao Muniz"/>
    <s v="Arnaldo Pereira Miranda"/>
    <s v="Preta"/>
    <x v="9"/>
    <x v="1"/>
    <s v="Não"/>
    <n v="0"/>
  </r>
  <r>
    <n v="280"/>
    <s v="Aurora Cavalcante Padilha"/>
    <d v="1964-09-27T00:00:00"/>
    <x v="8"/>
    <x v="278"/>
    <s v="65900-000"/>
    <x v="35"/>
    <x v="16"/>
    <s v="9134041685"/>
    <s v="378774209201"/>
    <s v="Cilene Gomes Cavalcante"/>
    <s v="Federico Mascarenhas Padilha"/>
    <s v="Parda"/>
    <x v="11"/>
    <x v="2"/>
    <s v="Sim"/>
    <n v="10"/>
  </r>
  <r>
    <n v="281"/>
    <s v="Ariadina Pinto Chaves"/>
    <d v="1992-01-11T00:00:00"/>
    <x v="33"/>
    <x v="279"/>
    <s v="45654-000"/>
    <x v="22"/>
    <x v="0"/>
    <s v="9197350387"/>
    <s v="392668209597"/>
    <s v="Cleide Cunha Pinto"/>
    <s v="Dagoberto Maciel Chaves"/>
    <s v="Branca"/>
    <x v="5"/>
    <x v="1"/>
    <s v="Sim"/>
    <n v="2"/>
  </r>
  <r>
    <n v="282"/>
    <s v="Jandira Barreto Camacho"/>
    <d v="1979-06-27T00:00:00"/>
    <x v="12"/>
    <x v="280"/>
    <s v="01310-100"/>
    <x v="14"/>
    <x v="12"/>
    <s v="3723890215"/>
    <s v="745882898883"/>
    <s v="Constança Igrejas Barreto"/>
    <s v="Alvaro Medeiros Camacho"/>
    <s v="Parda"/>
    <x v="13"/>
    <x v="3"/>
    <s v="Não"/>
    <n v="0"/>
  </r>
  <r>
    <n v="283"/>
    <s v="Ricardo Teixeira Cardoso"/>
    <d v="1975-06-05T00:00:00"/>
    <x v="15"/>
    <x v="281"/>
    <s v="69900-001"/>
    <x v="16"/>
    <x v="13"/>
    <s v="8812297153"/>
    <s v="739036916020"/>
    <s v="Diná Casagrande Teixeira"/>
    <s v="Pedro Maciel Cardoso"/>
    <s v="Branca"/>
    <x v="1"/>
    <x v="1"/>
    <s v="Não"/>
    <n v="0"/>
  </r>
  <r>
    <n v="284"/>
    <s v="Francine Palhares Godoy"/>
    <d v="2008-07-02T00:00:00"/>
    <x v="13"/>
    <x v="282"/>
    <s v="64204-035"/>
    <x v="41"/>
    <x v="5"/>
    <s v="7338126564"/>
    <s v="089484246555"/>
    <s v="Brenda Campos Palhares"/>
    <s v="Hugo Malta Godoy"/>
    <s v="Branca"/>
    <x v="11"/>
    <x v="0"/>
    <s v="Não"/>
    <n v="0"/>
  </r>
  <r>
    <n v="285"/>
    <s v="Elton Mello Pastrocinio"/>
    <d v="1973-03-04T00:00:00"/>
    <x v="39"/>
    <x v="283"/>
    <s v="55012-290"/>
    <x v="17"/>
    <x v="14"/>
    <s v="3008787712"/>
    <s v="577704466439"/>
    <s v="Cora Azevedo Mello"/>
    <s v="Alan Gonzaga Pastrocinio"/>
    <s v="Branca"/>
    <x v="11"/>
    <x v="2"/>
    <s v="Não"/>
    <n v="0"/>
  </r>
  <r>
    <n v="286"/>
    <s v="Angelica Almeida Garcez"/>
    <d v="1980-01-12T00:00:00"/>
    <x v="27"/>
    <x v="284"/>
    <s v="54410-010"/>
    <x v="89"/>
    <x v="14"/>
    <s v="1986230595"/>
    <s v="084889788902"/>
    <s v="Almerinda Fontes Almeida"/>
    <s v="Ives Pastore Garcez"/>
    <s v="Branca"/>
    <x v="2"/>
    <x v="0"/>
    <s v="Sim"/>
    <n v="3"/>
  </r>
  <r>
    <n v="287"/>
    <s v="Gerson Faria Passos"/>
    <d v="1984-08-13T00:00:00"/>
    <x v="23"/>
    <x v="285"/>
    <s v="58013-020"/>
    <x v="100"/>
    <x v="20"/>
    <s v="8571370057"/>
    <s v="462963875561"/>
    <s v="Carmem Assuncao Faria"/>
    <s v="Pedro Garrido Passos"/>
    <s v="Preta"/>
    <x v="15"/>
    <x v="1"/>
    <s v="Sim"/>
    <n v="1"/>
  </r>
  <r>
    <n v="288"/>
    <s v="Antonia Gimenez Cantanhede"/>
    <d v="1996-12-26T00:00:00"/>
    <x v="2"/>
    <x v="286"/>
    <s v="67013-000"/>
    <x v="23"/>
    <x v="15"/>
    <s v="1629305363"/>
    <s v="453255894679"/>
    <s v="Damaris Giacomini Gimenez"/>
    <s v="Fausto Leite Cantanhede"/>
    <s v="Preta"/>
    <x v="14"/>
    <x v="1"/>
    <s v="Sim"/>
    <n v="1"/>
  </r>
  <r>
    <n v="289"/>
    <s v="Thiago Xavier Naves"/>
    <d v="1972-05-04T00:00:00"/>
    <x v="21"/>
    <x v="287"/>
    <s v="27260-120"/>
    <x v="64"/>
    <x v="22"/>
    <s v="4827512412"/>
    <s v="724942967227"/>
    <s v="Araci Dornelles Xavier"/>
    <s v="Samuel Miranda Naves"/>
    <s v="Parda"/>
    <x v="19"/>
    <x v="1"/>
    <s v="Não"/>
    <n v="0"/>
  </r>
  <r>
    <n v="290"/>
    <s v="Dario Matos Marcondes"/>
    <d v="1964-12-12T00:00:00"/>
    <x v="8"/>
    <x v="288"/>
    <s v="29165-000"/>
    <x v="68"/>
    <x v="24"/>
    <s v="8374726455"/>
    <s v="895617498440"/>
    <s v="Evelin Palhares Matos"/>
    <s v="Edmar Fraga Marcondes"/>
    <s v="Branca"/>
    <x v="10"/>
    <x v="3"/>
    <s v="Sim"/>
    <n v="3"/>
  </r>
  <r>
    <n v="291"/>
    <s v="Edmilson Palma Madureira"/>
    <d v="1986-07-19T00:00:00"/>
    <x v="45"/>
    <x v="289"/>
    <s v="18048-110"/>
    <x v="101"/>
    <x v="12"/>
    <s v="4827319503"/>
    <s v="964837117827"/>
    <s v="Íris Mello Palma"/>
    <s v="Alan Medeiros Madureira"/>
    <s v="Branca"/>
    <x v="19"/>
    <x v="1"/>
    <s v="Sim"/>
    <n v="1"/>
  </r>
  <r>
    <n v="292"/>
    <s v="Alan Esteves Camargo"/>
    <d v="1961-08-26T00:00:00"/>
    <x v="1"/>
    <x v="290"/>
    <s v="59020-000"/>
    <x v="1"/>
    <x v="1"/>
    <s v="9356469060"/>
    <s v="872276632661"/>
    <s v="Alicia Ladeira Esteves"/>
    <s v="Cassiano Mata Camargo"/>
    <s v="Branca"/>
    <x v="9"/>
    <x v="3"/>
    <s v="Sim"/>
    <n v="1"/>
  </r>
  <r>
    <n v="293"/>
    <s v="Caciano Nascimento Mascarenhas"/>
    <d v="1961-12-12T00:00:00"/>
    <x v="1"/>
    <x v="291"/>
    <s v="29165-000"/>
    <x v="68"/>
    <x v="24"/>
    <s v="5210847684"/>
    <s v="802997362720"/>
    <s v="Angela Pinto Nascimento"/>
    <s v="Afonso Andrade Mascarenhas"/>
    <s v="Preta"/>
    <x v="6"/>
    <x v="2"/>
    <s v="Não"/>
    <n v="0"/>
  </r>
  <r>
    <n v="294"/>
    <s v="Edson Matos Farias"/>
    <d v="1985-10-07T00:00:00"/>
    <x v="26"/>
    <x v="292"/>
    <s v="45023-490"/>
    <x v="3"/>
    <x v="0"/>
    <s v="3235087477"/>
    <s v="925056351053"/>
    <s v="Bárbara Lima Matos"/>
    <s v="Gilberto Dornelles Farias"/>
    <s v="Parda"/>
    <x v="6"/>
    <x v="0"/>
    <s v="Não"/>
    <n v="0"/>
  </r>
  <r>
    <n v="295"/>
    <s v="Apostolo Paiva Girao"/>
    <d v="1988-01-14T00:00:00"/>
    <x v="37"/>
    <x v="293"/>
    <s v="78700-050"/>
    <x v="5"/>
    <x v="4"/>
    <s v="2268248355"/>
    <s v="475277967134"/>
    <s v="Eva Delgado Paiva"/>
    <s v="Leonardo Barros Girao"/>
    <s v="Branca"/>
    <x v="15"/>
    <x v="0"/>
    <s v="Sim"/>
    <n v="1"/>
  </r>
  <r>
    <n v="296"/>
    <s v="Marcelo Campos Mascarenhas"/>
    <d v="1975-08-09T00:00:00"/>
    <x v="15"/>
    <x v="294"/>
    <s v="54410-010"/>
    <x v="89"/>
    <x v="14"/>
    <s v="0335932478"/>
    <s v="226694596086"/>
    <s v="Aida Geraldo Campos"/>
    <s v="Arthur Gouveia Mascarenhas"/>
    <s v="Parda"/>
    <x v="15"/>
    <x v="2"/>
    <s v="Não"/>
    <n v="0"/>
  </r>
  <r>
    <n v="297"/>
    <s v="Cris Madureira Almeida"/>
    <d v="1980-06-24T00:00:00"/>
    <x v="27"/>
    <x v="295"/>
    <s v="49015-000"/>
    <x v="102"/>
    <x v="25"/>
    <s v="5648998144"/>
    <s v="601457319094"/>
    <s v="Filomena Nobre Madureira"/>
    <s v="Gilson Horta Almeida"/>
    <s v="Parda"/>
    <x v="8"/>
    <x v="1"/>
    <s v="Sim"/>
    <n v="1"/>
  </r>
  <r>
    <n v="298"/>
    <s v="Glauce Giacomini Caldeira"/>
    <d v="1999-04-12T00:00:00"/>
    <x v="10"/>
    <x v="296"/>
    <s v="86020-080"/>
    <x v="27"/>
    <x v="11"/>
    <s v="5452161958"/>
    <s v="276462619965"/>
    <s v="Iris Molina Giacomini"/>
    <s v="Isaias Magalhaes Caldeira"/>
    <s v="Preta"/>
    <x v="0"/>
    <x v="3"/>
    <s v="Não"/>
    <n v="0"/>
  </r>
  <r>
    <n v="299"/>
    <s v="Elisabete Borges Camacho"/>
    <d v="1997-02-17T00:00:00"/>
    <x v="4"/>
    <x v="297"/>
    <s v="80060-000"/>
    <x v="43"/>
    <x v="11"/>
    <s v="9029787712"/>
    <s v="201909893577"/>
    <s v="Carla Domingues Borges"/>
    <s v="Domingos Melo Camacho"/>
    <s v="Parda"/>
    <x v="8"/>
    <x v="4"/>
    <s v="Não"/>
    <n v="0"/>
  </r>
  <r>
    <n v="300"/>
    <s v="Ester Bello Espinosa"/>
    <d v="1977-12-11T00:00:00"/>
    <x v="5"/>
    <x v="298"/>
    <s v="53030-010"/>
    <x v="78"/>
    <x v="14"/>
    <s v="7662639988"/>
    <s v="790432986272"/>
    <s v="Camila Noronha Bello"/>
    <s v="Igor Laranjeira Espinosa"/>
    <s v="Branca"/>
    <x v="18"/>
    <x v="4"/>
    <s v="Não"/>
    <n v="0"/>
  </r>
  <r>
    <n v="301"/>
    <s v="Danilo Lourenco Bueno"/>
    <d v="2008-05-05T00:00:00"/>
    <x v="13"/>
    <x v="299"/>
    <s v="56302-000"/>
    <x v="21"/>
    <x v="14"/>
    <s v="0655708947"/>
    <s v="710643096315"/>
    <s v="Elza Paranhos Lourenco"/>
    <s v="Eneas Moreira Bueno"/>
    <s v="Branca"/>
    <x v="16"/>
    <x v="3"/>
    <s v="Sim"/>
    <n v="6"/>
  </r>
  <r>
    <n v="302"/>
    <s v="Eneas Novaes Caceres"/>
    <d v="2007-01-11T00:00:00"/>
    <x v="18"/>
    <x v="300"/>
    <s v="90010-420"/>
    <x v="48"/>
    <x v="7"/>
    <s v="5895242025"/>
    <s v="853388691532"/>
    <s v="Geovana Teixeira Novaes"/>
    <s v="Iuri Batista Caceres"/>
    <s v="Parda"/>
    <x v="2"/>
    <x v="4"/>
    <s v="Sim"/>
    <n v="1"/>
  </r>
  <r>
    <n v="303"/>
    <s v="Alice Nobrega Moura"/>
    <d v="1978-02-07T00:00:00"/>
    <x v="3"/>
    <x v="301"/>
    <s v="45654-000"/>
    <x v="22"/>
    <x v="0"/>
    <s v="3056546196"/>
    <s v="339092622633"/>
    <s v="Bianca Lourenco Nobrega"/>
    <s v="Breno Ortega Moura"/>
    <s v="Branca"/>
    <x v="12"/>
    <x v="1"/>
    <s v="Não"/>
    <n v="0"/>
  </r>
  <r>
    <n v="304"/>
    <s v="Alisson Montenegro Ortega"/>
    <d v="1991-11-11T00:00:00"/>
    <x v="22"/>
    <x v="302"/>
    <s v="59600-005"/>
    <x v="34"/>
    <x v="1"/>
    <s v="6678798688"/>
    <s v="602762083837"/>
    <s v="Anamaria Bittencourt Montenegro"/>
    <s v="Dagoberto Silva Ortega"/>
    <s v="Preta"/>
    <x v="11"/>
    <x v="1"/>
    <s v="Não"/>
    <n v="0"/>
  </r>
  <r>
    <n v="305"/>
    <s v="Guilhermina Jesus Neto"/>
    <d v="1966-04-20T00:00:00"/>
    <x v="28"/>
    <x v="303"/>
    <s v="57100-000"/>
    <x v="90"/>
    <x v="9"/>
    <s v="6640122059"/>
    <s v="040913714949"/>
    <s v="Damaris Rocha Jesus"/>
    <s v="Anselmo Morais Neto"/>
    <s v="Parda"/>
    <x v="3"/>
    <x v="0"/>
    <s v="Não"/>
    <n v="0"/>
  </r>
  <r>
    <n v="306"/>
    <s v="Elaine Monteiro Ortega"/>
    <d v="2001-06-12T00:00:00"/>
    <x v="9"/>
    <x v="304"/>
    <s v="58800-040"/>
    <x v="97"/>
    <x v="20"/>
    <s v="1156704283"/>
    <s v="546522509965"/>
    <s v="Ariadina Pamplona Monteiro"/>
    <s v="Bernardo Palma Ortega"/>
    <s v="Parda"/>
    <x v="15"/>
    <x v="1"/>
    <s v="Sim"/>
    <n v="3"/>
  </r>
  <r>
    <n v="307"/>
    <s v="Damaris Moreira Garcez"/>
    <d v="1995-02-22T00:00:00"/>
    <x v="43"/>
    <x v="305"/>
    <s v="24230-050"/>
    <x v="47"/>
    <x v="22"/>
    <s v="3319912719"/>
    <s v="823194877351"/>
    <s v="Dirce Evangelista Moreira"/>
    <s v="Domingos Casanova Garcez"/>
    <s v="Branca"/>
    <x v="15"/>
    <x v="1"/>
    <s v="Não"/>
    <n v="0"/>
  </r>
  <r>
    <n v="308"/>
    <s v="Letícia Pinto Lourdes"/>
    <d v="1972-09-23T00:00:00"/>
    <x v="21"/>
    <x v="306"/>
    <s v="53030-010"/>
    <x v="78"/>
    <x v="14"/>
    <s v="9259423431"/>
    <s v="052138490827"/>
    <s v="Cleonice Noronha Pinto"/>
    <s v="Daniel Palhares Lourdes"/>
    <s v="Preta"/>
    <x v="3"/>
    <x v="3"/>
    <s v="Não"/>
    <n v="0"/>
  </r>
  <r>
    <n v="309"/>
    <s v="Donizete Laranjeira Antunes"/>
    <d v="1995-11-11T00:00:00"/>
    <x v="43"/>
    <x v="307"/>
    <s v="69100-043"/>
    <x v="20"/>
    <x v="10"/>
    <s v="8078589404"/>
    <s v="157891740315"/>
    <s v="Emanuela Farias Laranjeira"/>
    <s v="Fernandinho Cintra Antunes"/>
    <s v="Parda"/>
    <x v="0"/>
    <x v="0"/>
    <s v="Sim"/>
    <n v="1"/>
  </r>
  <r>
    <n v="310"/>
    <s v="Cíntia Paiva Lima"/>
    <d v="1997-04-15T00:00:00"/>
    <x v="4"/>
    <x v="308"/>
    <s v="92200-630"/>
    <x v="9"/>
    <x v="7"/>
    <s v="2436210469"/>
    <s v="877582295174"/>
    <s v="Brenda Molina Paiva"/>
    <s v="Dario Marcondes Lima"/>
    <s v="Preta"/>
    <x v="14"/>
    <x v="1"/>
    <s v="Não"/>
    <n v="0"/>
  </r>
  <r>
    <n v="311"/>
    <s v="Arthur Leal Aranha"/>
    <d v="1989-12-16T00:00:00"/>
    <x v="36"/>
    <x v="309"/>
    <s v="72800-000"/>
    <x v="40"/>
    <x v="6"/>
    <s v="3457059081"/>
    <s v="156266981372"/>
    <s v="Elba Faria Leal"/>
    <s v="Estevao Bueno Aranha"/>
    <s v="Parda"/>
    <x v="5"/>
    <x v="4"/>
    <s v="Sim"/>
    <n v="3"/>
  </r>
  <r>
    <n v="312"/>
    <s v="Isabel Antunes Gimenez"/>
    <d v="1991-07-02T00:00:00"/>
    <x v="22"/>
    <x v="310"/>
    <s v="70340-000"/>
    <x v="28"/>
    <x v="17"/>
    <s v="1069268743"/>
    <s v="808491397547"/>
    <s v="Amália Frota Antunes"/>
    <s v="Brian Carrasco Gimenez"/>
    <s v="Branca"/>
    <x v="2"/>
    <x v="4"/>
    <s v="Sim"/>
    <n v="2"/>
  </r>
  <r>
    <n v="313"/>
    <s v="Herculano Guerra Cabral"/>
    <d v="1965-08-02T00:00:00"/>
    <x v="30"/>
    <x v="311"/>
    <s v="45654-000"/>
    <x v="22"/>
    <x v="0"/>
    <s v="4972905137"/>
    <s v="285487228301"/>
    <s v="Anastacia Melo Guerra"/>
    <s v="Edmilson Batista Cabral"/>
    <s v="Branca"/>
    <x v="0"/>
    <x v="3"/>
    <s v="Não"/>
    <n v="0"/>
  </r>
  <r>
    <n v="314"/>
    <s v="Clodoaldo Caceres Giacomini"/>
    <d v="1994-02-16T00:00:00"/>
    <x v="24"/>
    <x v="312"/>
    <s v="75020-010"/>
    <x v="15"/>
    <x v="6"/>
    <s v="6662074707"/>
    <s v="969248398995"/>
    <s v="Conceição Fonseca Caceres"/>
    <s v="Gilson Vieira Giacomini"/>
    <s v="Branca"/>
    <x v="13"/>
    <x v="4"/>
    <s v="Não"/>
    <n v="0"/>
  </r>
  <r>
    <n v="315"/>
    <s v="Cibele Silva Aranha"/>
    <d v="1969-01-02T00:00:00"/>
    <x v="41"/>
    <x v="313"/>
    <s v="78008-000"/>
    <x v="19"/>
    <x v="4"/>
    <s v="7074396175"/>
    <s v="674324031610"/>
    <s v="Fabiola Caceres Silva"/>
    <s v="Bernardo Assuncao Aranha"/>
    <s v="Branca"/>
    <x v="14"/>
    <x v="1"/>
    <s v="Não"/>
    <n v="0"/>
  </r>
  <r>
    <n v="316"/>
    <s v="Alisson Dias Mendonca"/>
    <d v="1992-08-12T00:00:00"/>
    <x v="33"/>
    <x v="314"/>
    <s v="74912-420"/>
    <x v="103"/>
    <x v="6"/>
    <s v="6451269669"/>
    <s v="712954456011"/>
    <s v="Beatriz Filgueiras Dias"/>
    <s v="Fabio Fontes Mendonca"/>
    <s v="Parda"/>
    <x v="1"/>
    <x v="3"/>
    <s v="Sim"/>
    <n v="5"/>
  </r>
  <r>
    <n v="317"/>
    <s v="André Figueira Farias"/>
    <d v="1975-01-26T00:00:00"/>
    <x v="15"/>
    <x v="315"/>
    <s v="54410-010"/>
    <x v="89"/>
    <x v="14"/>
    <s v="0436352303"/>
    <s v="302919108153"/>
    <s v="Geovana Coimbra Figueira"/>
    <s v="Djalmir Novaes Farias"/>
    <s v="Branca"/>
    <x v="3"/>
    <x v="3"/>
    <s v="Não"/>
    <n v="0"/>
  </r>
  <r>
    <n v="318"/>
    <s v="Cristiano Mendes Antunes"/>
    <d v="1967-10-25T00:00:00"/>
    <x v="29"/>
    <x v="316"/>
    <s v="22021-001"/>
    <x v="87"/>
    <x v="22"/>
    <s v="2489506395"/>
    <s v="764171713866"/>
    <s v="Aurora Faria Mendes"/>
    <s v="Januario Ribeiro Antunes"/>
    <s v="Branca"/>
    <x v="6"/>
    <x v="0"/>
    <s v="Sim"/>
    <n v="1"/>
  </r>
  <r>
    <n v="319"/>
    <s v="Alisson Medeiros Pamplona"/>
    <d v="1961-02-15T00:00:00"/>
    <x v="1"/>
    <x v="317"/>
    <s v="69301-000"/>
    <x v="54"/>
    <x v="8"/>
    <s v="3266340615"/>
    <s v="015122733819"/>
    <s v="Ariela Naves Medeiros"/>
    <s v="Hamilton Almeida Pamplona"/>
    <s v="Branca"/>
    <x v="17"/>
    <x v="0"/>
    <s v="Não"/>
    <n v="0"/>
  </r>
  <r>
    <n v="320"/>
    <s v="Araci Lemos Palhares"/>
    <d v="1966-06-17T00:00:00"/>
    <x v="28"/>
    <x v="318"/>
    <s v="87013-000"/>
    <x v="13"/>
    <x v="11"/>
    <s v="1386637823"/>
    <s v="858211133807"/>
    <s v="Maria Barreto Lemos"/>
    <s v="Ildo Caceres Palhares"/>
    <s v="Parda"/>
    <x v="4"/>
    <x v="1"/>
    <s v="Sim"/>
    <n v="6"/>
  </r>
  <r>
    <n v="321"/>
    <s v="Francisco Casagrande Guimaraes"/>
    <d v="1980-09-24T00:00:00"/>
    <x v="27"/>
    <x v="319"/>
    <s v="66060-230"/>
    <x v="83"/>
    <x v="15"/>
    <s v="6049480425"/>
    <s v="264692274382"/>
    <s v="Arlene Ladeira Casagrande"/>
    <s v="Eduardo Gaspar Guimaraes"/>
    <s v="Preta"/>
    <x v="3"/>
    <x v="2"/>
    <s v="Sim"/>
    <n v="1"/>
  </r>
  <r>
    <n v="322"/>
    <s v="Jeronimo Campos Nobre"/>
    <d v="1984-12-14T00:00:00"/>
    <x v="23"/>
    <x v="320"/>
    <s v="12245-010"/>
    <x v="45"/>
    <x v="12"/>
    <s v="7878366367"/>
    <s v="073095649874"/>
    <s v="Júlia Godoy Campos"/>
    <s v="Fabricio Caldas Nobre"/>
    <s v="Parda"/>
    <x v="13"/>
    <x v="2"/>
    <s v="Sim"/>
    <n v="1"/>
  </r>
  <r>
    <n v="323"/>
    <s v="Jefferson Assuncao Barbosa"/>
    <d v="1991-10-08T00:00:00"/>
    <x v="22"/>
    <x v="321"/>
    <s v="63010-010"/>
    <x v="29"/>
    <x v="18"/>
    <s v="4177902725"/>
    <s v="472871498245"/>
    <s v="Cacilda Jordao Assuncao"/>
    <s v="Ilan Brito Barbosa"/>
    <s v="Parda"/>
    <x v="17"/>
    <x v="4"/>
    <s v="Sim"/>
    <n v="2"/>
  </r>
  <r>
    <n v="324"/>
    <s v="Gilberto Paixao Barros"/>
    <d v="2006-06-27T00:00:00"/>
    <x v="19"/>
    <x v="322"/>
    <s v="58013-020"/>
    <x v="100"/>
    <x v="20"/>
    <s v="8246886083"/>
    <s v="573934443085"/>
    <s v="Evelyn Costa Paixao"/>
    <s v="Elias Gentil Barros"/>
    <s v="Preta"/>
    <x v="3"/>
    <x v="1"/>
    <s v="Não"/>
    <n v="0"/>
  </r>
  <r>
    <n v="325"/>
    <s v="Dagmar Paschoal Guerra"/>
    <d v="1967-08-04T00:00:00"/>
    <x v="29"/>
    <x v="323"/>
    <s v="38400-112"/>
    <x v="98"/>
    <x v="23"/>
    <s v="9531285644"/>
    <s v="614077901326"/>
    <s v="Gisele Mesquita Paschoal"/>
    <s v="Ernesto Santos Guerra"/>
    <s v="Parda"/>
    <x v="6"/>
    <x v="2"/>
    <s v="Sim"/>
    <n v="1"/>
  </r>
  <r>
    <n v="326"/>
    <s v="Cleonice Silva Gaspar"/>
    <d v="1977-09-20T00:00:00"/>
    <x v="5"/>
    <x v="324"/>
    <s v="28040-706"/>
    <x v="60"/>
    <x v="22"/>
    <s v="1833786708"/>
    <s v="166345188589"/>
    <s v="Larissa Lozano Silva"/>
    <s v="Celso Oliveira Gaspar"/>
    <s v="Branca"/>
    <x v="9"/>
    <x v="4"/>
    <s v="Não"/>
    <n v="0"/>
  </r>
  <r>
    <n v="327"/>
    <s v="Cesar Machado Aranha"/>
    <d v="1996-05-12T00:00:00"/>
    <x v="2"/>
    <x v="325"/>
    <s v="59600-005"/>
    <x v="34"/>
    <x v="1"/>
    <s v="0680888713"/>
    <s v="202941521302"/>
    <s v="Juliana Cantanhede Machado"/>
    <s v="Alexandre Naves Aranha"/>
    <s v="Branca"/>
    <x v="8"/>
    <x v="4"/>
    <s v="Não"/>
    <n v="0"/>
  </r>
  <r>
    <n v="328"/>
    <s v="Coralina Lima Coelho"/>
    <d v="1977-11-22T00:00:00"/>
    <x v="5"/>
    <x v="326"/>
    <s v="74110-160"/>
    <x v="32"/>
    <x v="6"/>
    <s v="0817315839"/>
    <s v="063087470393"/>
    <s v="Dalila Paes Lima"/>
    <s v="Baltazar Machado Coelho"/>
    <s v="Parda"/>
    <x v="6"/>
    <x v="0"/>
    <s v="Não"/>
    <n v="0"/>
  </r>
  <r>
    <n v="329"/>
    <s v="João Fraga Santos"/>
    <d v="1984-01-17T00:00:00"/>
    <x v="23"/>
    <x v="327"/>
    <s v="95010-000"/>
    <x v="99"/>
    <x v="7"/>
    <s v="2862379582"/>
    <s v="640814729621"/>
    <s v="Bruna Freitas Fraga"/>
    <s v="Jamil Esteves Santos"/>
    <s v="Parda"/>
    <x v="8"/>
    <x v="4"/>
    <s v="Sim"/>
    <n v="2"/>
  </r>
  <r>
    <n v="330"/>
    <s v="Maria Cunha Macedo"/>
    <d v="1987-01-16T00:00:00"/>
    <x v="6"/>
    <x v="328"/>
    <s v="64600-000"/>
    <x v="74"/>
    <x v="5"/>
    <s v="7930588010"/>
    <s v="464744050843"/>
    <s v="Daiana Coimbra Cunha"/>
    <s v="Iuri Mendes Macedo"/>
    <s v="Branca"/>
    <x v="15"/>
    <x v="3"/>
    <s v="Sim"/>
    <n v="3"/>
  </r>
  <r>
    <n v="331"/>
    <s v="Alexia Magalhaes Inacio"/>
    <d v="1982-06-28T00:00:00"/>
    <x v="44"/>
    <x v="329"/>
    <s v="68900-073"/>
    <x v="104"/>
    <x v="2"/>
    <s v="3538920912"/>
    <s v="538834757386"/>
    <s v="Diná Paranhos Magalhaes"/>
    <s v="Ricardo Marcondes Inacio"/>
    <s v="Parda"/>
    <x v="2"/>
    <x v="3"/>
    <s v="Não"/>
    <n v="0"/>
  </r>
  <r>
    <n v="332"/>
    <s v="Artur Alves Ferreira"/>
    <d v="2008-02-18T00:00:00"/>
    <x v="13"/>
    <x v="330"/>
    <s v="58700-010"/>
    <x v="31"/>
    <x v="20"/>
    <s v="0362565165"/>
    <s v="575200185669"/>
    <s v="Ivete Inacio Alves"/>
    <s v="Pedro Caldeira Ferreira"/>
    <s v="Branca"/>
    <x v="16"/>
    <x v="3"/>
    <s v="Não"/>
    <n v="0"/>
  </r>
  <r>
    <n v="333"/>
    <s v="Guilhermina Garrido Ladeira"/>
    <d v="1995-07-05T00:00:00"/>
    <x v="43"/>
    <x v="331"/>
    <s v="69050-000"/>
    <x v="12"/>
    <x v="10"/>
    <s v="5016102960"/>
    <s v="491682119200"/>
    <s v="Dagmar Marques Garrido"/>
    <s v="Eric Bello Ladeira"/>
    <s v="Preta"/>
    <x v="13"/>
    <x v="1"/>
    <s v="Sim"/>
    <n v="3"/>
  </r>
  <r>
    <n v="334"/>
    <s v="Gaspar Gama Junqueira"/>
    <d v="2000-03-16T00:00:00"/>
    <x v="7"/>
    <x v="332"/>
    <s v="69050-000"/>
    <x v="12"/>
    <x v="10"/>
    <s v="7978388069"/>
    <s v="153150246356"/>
    <s v="Andrea Matos Gama"/>
    <s v="Cicero Morais Junqueira"/>
    <s v="Parda"/>
    <x v="16"/>
    <x v="0"/>
    <s v="Sim"/>
    <n v="3"/>
  </r>
  <r>
    <n v="335"/>
    <s v="Fred Junqueira Andrade"/>
    <d v="1967-09-25T00:00:00"/>
    <x v="29"/>
    <x v="333"/>
    <s v="78117-000"/>
    <x v="85"/>
    <x v="4"/>
    <s v="5512950081"/>
    <s v="171154190826"/>
    <s v="Inês Soares Junqueira"/>
    <s v="Cristiano Fernandes Andrade"/>
    <s v="Branca"/>
    <x v="17"/>
    <x v="4"/>
    <s v="Sim"/>
    <n v="1"/>
  </r>
  <r>
    <n v="336"/>
    <s v="Camilo Coelho Giacomini"/>
    <d v="1967-09-09T00:00:00"/>
    <x v="29"/>
    <x v="334"/>
    <s v="61900-000"/>
    <x v="57"/>
    <x v="18"/>
    <s v="2196592034"/>
    <s v="721089976404"/>
    <s v="Ariadina Lacerda Coelho"/>
    <s v="Cris Brito Giacomini"/>
    <s v="Branca"/>
    <x v="15"/>
    <x v="4"/>
    <s v="Sim"/>
    <n v="3"/>
  </r>
  <r>
    <n v="337"/>
    <s v="Almerinda Mesquita Gouveia"/>
    <d v="1996-03-13T00:00:00"/>
    <x v="2"/>
    <x v="335"/>
    <s v="69980-000"/>
    <x v="53"/>
    <x v="13"/>
    <s v="6010921517"/>
    <s v="853697314339"/>
    <s v="Amália Evangelista Mesquita"/>
    <s v="Edvaldo Cintra Gouveia"/>
    <s v="Parda"/>
    <x v="3"/>
    <x v="3"/>
    <s v="Sim"/>
    <n v="4"/>
  </r>
  <r>
    <n v="338"/>
    <s v="Dario Giacomini Caldeira"/>
    <d v="1986-01-05T00:00:00"/>
    <x v="45"/>
    <x v="336"/>
    <s v="78117-000"/>
    <x v="85"/>
    <x v="4"/>
    <s v="1630852679"/>
    <s v="345022047529"/>
    <s v="Brenda Casagrande Giacomini"/>
    <s v="Cristiano Neto Caldeira"/>
    <s v="Preta"/>
    <x v="16"/>
    <x v="4"/>
    <s v="Não"/>
    <n v="0"/>
  </r>
  <r>
    <n v="339"/>
    <s v="Denilson Cunha Palhares"/>
    <d v="1987-01-27T00:00:00"/>
    <x v="6"/>
    <x v="337"/>
    <s v="32600-112"/>
    <x v="79"/>
    <x v="23"/>
    <s v="3675065202"/>
    <s v="674673480606"/>
    <s v="Patrícia Pamplona Cunha"/>
    <s v="Eliezer Meneses Palhares"/>
    <s v="Parda"/>
    <x v="19"/>
    <x v="4"/>
    <s v="Não"/>
    <n v="0"/>
  </r>
  <r>
    <n v="340"/>
    <s v="Jesse Casagrande Nobrega"/>
    <d v="1985-04-04T00:00:00"/>
    <x v="26"/>
    <x v="338"/>
    <s v="63010-010"/>
    <x v="29"/>
    <x v="18"/>
    <s v="0571211870"/>
    <s v="751536469442"/>
    <s v="Glaucia Fontes Casagrande"/>
    <s v="Cicero Pamplona Nobrega"/>
    <s v="Preta"/>
    <x v="14"/>
    <x v="1"/>
    <s v="Sim"/>
    <n v="7"/>
  </r>
  <r>
    <n v="341"/>
    <s v="Dóris Cantanhede Guimaraes"/>
    <d v="1971-07-22T00:00:00"/>
    <x v="34"/>
    <x v="339"/>
    <s v="36013-000"/>
    <x v="94"/>
    <x v="23"/>
    <s v="3118632722"/>
    <s v="230799891257"/>
    <s v="Daiana Gomes Cantanhede"/>
    <s v="Samuel Diniz Guimaraes"/>
    <s v="Preta"/>
    <x v="1"/>
    <x v="1"/>
    <s v="Não"/>
    <n v="0"/>
  </r>
  <r>
    <n v="342"/>
    <s v="Daiane Fonseca Freire"/>
    <d v="2001-09-10T00:00:00"/>
    <x v="9"/>
    <x v="340"/>
    <s v="13208-056"/>
    <x v="95"/>
    <x v="12"/>
    <s v="6775823178"/>
    <s v="000653464515"/>
    <s v="Glaucia Carneiro Fonseca"/>
    <s v="Djalma Macedo Freire"/>
    <s v="Branca"/>
    <x v="13"/>
    <x v="3"/>
    <s v="Sim"/>
    <n v="1"/>
  </r>
  <r>
    <n v="343"/>
    <s v="Jamil Garcez Andrade"/>
    <d v="1977-09-19T00:00:00"/>
    <x v="5"/>
    <x v="341"/>
    <s v="78008-000"/>
    <x v="19"/>
    <x v="4"/>
    <s v="7743444519"/>
    <s v="707785404582"/>
    <s v="Amália Lucena Garcez"/>
    <s v="Enzo Baptista Andrade"/>
    <s v="Parda"/>
    <x v="4"/>
    <x v="1"/>
    <s v="Sim"/>
    <n v="3"/>
  </r>
  <r>
    <n v="344"/>
    <s v="Damaris Lourdes Belmonte"/>
    <d v="1982-06-08T00:00:00"/>
    <x v="44"/>
    <x v="342"/>
    <s v="89201-000"/>
    <x v="105"/>
    <x v="19"/>
    <s v="1366300386"/>
    <s v="865598531393"/>
    <s v="Janete Nobrega Lourdes"/>
    <s v="Ildo Borges Belmonte"/>
    <s v="Parda"/>
    <x v="3"/>
    <x v="3"/>
    <s v="Não"/>
    <n v="0"/>
  </r>
  <r>
    <n v="345"/>
    <s v="Adriano Ortega Neto"/>
    <d v="1974-07-02T00:00:00"/>
    <x v="0"/>
    <x v="343"/>
    <s v="75020-010"/>
    <x v="15"/>
    <x v="6"/>
    <s v="3824924695"/>
    <s v="851874991257"/>
    <s v="Fausta Lago Ortega"/>
    <s v="Arthur Geraldo Neto"/>
    <s v="Preta"/>
    <x v="11"/>
    <x v="3"/>
    <s v="Sim"/>
    <n v="1"/>
  </r>
  <r>
    <n v="346"/>
    <s v="Apostolo Bueno Avila"/>
    <d v="1976-11-01T00:00:00"/>
    <x v="31"/>
    <x v="344"/>
    <s v="24230-050"/>
    <x v="47"/>
    <x v="22"/>
    <s v="6762745613"/>
    <s v="830639933825"/>
    <s v="Debora Meireles Bueno"/>
    <s v="Alejandro Neto Avila"/>
    <s v="Parda"/>
    <x v="16"/>
    <x v="0"/>
    <s v="Sim"/>
    <n v="3"/>
  </r>
  <r>
    <n v="347"/>
    <s v="Ivandro Nobrega Alves"/>
    <d v="2001-08-23T00:00:00"/>
    <x v="9"/>
    <x v="345"/>
    <s v="29060-235"/>
    <x v="51"/>
    <x v="24"/>
    <s v="9680338342"/>
    <s v="060435049393"/>
    <s v="Isadora Paes Nobrega"/>
    <s v="Ivan Campos Alves"/>
    <s v="Preta"/>
    <x v="12"/>
    <x v="1"/>
    <s v="Não"/>
    <n v="0"/>
  </r>
  <r>
    <n v="348"/>
    <s v="Edmilson Geraldo Souza"/>
    <d v="1983-02-23T00:00:00"/>
    <x v="46"/>
    <x v="346"/>
    <s v="69151-000"/>
    <x v="26"/>
    <x v="10"/>
    <s v="0095100148"/>
    <s v="001868273862"/>
    <s v="Janaina Ornellas Geraldo"/>
    <s v="Candido Maldonado Souza"/>
    <s v="Parda"/>
    <x v="18"/>
    <x v="3"/>
    <s v="Não"/>
    <n v="0"/>
  </r>
  <r>
    <n v="349"/>
    <s v="Íris Camargo Morais"/>
    <d v="1962-05-05T00:00:00"/>
    <x v="25"/>
    <x v="347"/>
    <s v="58700-010"/>
    <x v="31"/>
    <x v="20"/>
    <s v="1014998849"/>
    <s v="333727612034"/>
    <s v="Aline Molina Camargo"/>
    <s v="Hermes Firmeza Morais"/>
    <s v="Parda"/>
    <x v="7"/>
    <x v="1"/>
    <s v="Não"/>
    <n v="0"/>
  </r>
  <r>
    <n v="350"/>
    <s v="Cilene Barros Batista"/>
    <d v="2006-04-28T00:00:00"/>
    <x v="19"/>
    <x v="348"/>
    <s v="18048-110"/>
    <x v="101"/>
    <x v="12"/>
    <s v="7960464680"/>
    <s v="896337483214"/>
    <s v="Isabel Junqueira Barros"/>
    <s v="Eric Malta Batista"/>
    <s v="Indígena"/>
    <x v="5"/>
    <x v="1"/>
    <s v="Sim"/>
    <n v="1"/>
  </r>
  <r>
    <n v="351"/>
    <s v="Jason Morais Melo"/>
    <d v="1969-11-07T00:00:00"/>
    <x v="41"/>
    <x v="349"/>
    <s v="64001-020"/>
    <x v="7"/>
    <x v="5"/>
    <s v="9103406634"/>
    <s v="330346037031"/>
    <s v="Dafne Carvalho Morais"/>
    <s v="Chico Firmeza Melo"/>
    <s v="Branca"/>
    <x v="15"/>
    <x v="2"/>
    <s v="Não"/>
    <n v="0"/>
  </r>
  <r>
    <n v="352"/>
    <s v="Giordano Holanda Alves"/>
    <d v="1992-12-28T00:00:00"/>
    <x v="33"/>
    <x v="350"/>
    <s v="18048-110"/>
    <x v="101"/>
    <x v="12"/>
    <s v="2422179439"/>
    <s v="677019270527"/>
    <s v="Celina Nogueira Holanda"/>
    <s v="Brian Pastrocinio Alves"/>
    <s v="Branca"/>
    <x v="10"/>
    <x v="1"/>
    <s v="Sim"/>
    <n v="1"/>
  </r>
  <r>
    <n v="353"/>
    <s v="Geraldo Muricy Gimenez"/>
    <d v="2007-08-02T00:00:00"/>
    <x v="18"/>
    <x v="351"/>
    <s v="66060-230"/>
    <x v="83"/>
    <x v="15"/>
    <s v="6387440769"/>
    <s v="379118855974"/>
    <s v="Jeane Maldonado Muricy"/>
    <s v="Cristovao Domingues Gimenez"/>
    <s v="Branca"/>
    <x v="2"/>
    <x v="3"/>
    <s v="Não"/>
    <n v="0"/>
  </r>
  <r>
    <n v="354"/>
    <s v="Edgar Galvao Maldonado"/>
    <d v="1977-09-24T00:00:00"/>
    <x v="5"/>
    <x v="352"/>
    <s v="69050-000"/>
    <x v="12"/>
    <x v="10"/>
    <s v="3440354356"/>
    <s v="145702735051"/>
    <s v="Isadora Alves Galvao"/>
    <s v="Eric Ortega Maldonado"/>
    <s v="Branca"/>
    <x v="7"/>
    <x v="0"/>
    <s v="Sim"/>
    <n v="2"/>
  </r>
  <r>
    <n v="355"/>
    <s v="Cicero Evangelista Gonzaga"/>
    <d v="1984-01-12T00:00:00"/>
    <x v="23"/>
    <x v="353"/>
    <s v="68925-001"/>
    <x v="63"/>
    <x v="2"/>
    <s v="6716667439"/>
    <s v="054179714132"/>
    <s v="Gertrudes Feitosa Evangelista"/>
    <s v="Carlos Barbosa Gonzaga"/>
    <s v="Branca"/>
    <x v="19"/>
    <x v="4"/>
    <s v="Não"/>
    <n v="0"/>
  </r>
  <r>
    <n v="356"/>
    <s v="Euzebio Lins Negrao"/>
    <d v="1997-10-05T00:00:00"/>
    <x v="4"/>
    <x v="354"/>
    <s v="69301-000"/>
    <x v="54"/>
    <x v="8"/>
    <s v="4826631655"/>
    <s v="572009661925"/>
    <s v="Coralina Xavier Lins"/>
    <s v="Guto Machado Negrao"/>
    <s v="Branca"/>
    <x v="18"/>
    <x v="0"/>
    <s v="Não"/>
    <n v="0"/>
  </r>
  <r>
    <n v="357"/>
    <s v="Evelin Cabral Moreira"/>
    <d v="1976-04-07T00:00:00"/>
    <x v="31"/>
    <x v="355"/>
    <s v="59600-005"/>
    <x v="34"/>
    <x v="1"/>
    <s v="9113277192"/>
    <s v="770958159084"/>
    <s v="Graça Jardim Cabral"/>
    <s v="Cesar Macedo Moreira"/>
    <s v="Branca"/>
    <x v="15"/>
    <x v="4"/>
    <s v="Sim"/>
    <n v="2"/>
  </r>
  <r>
    <n v="358"/>
    <s v="Hugo Miranda Melo"/>
    <d v="1968-12-10T00:00:00"/>
    <x v="14"/>
    <x v="356"/>
    <s v="68900-073"/>
    <x v="104"/>
    <x v="2"/>
    <s v="5045886311"/>
    <s v="549367167451"/>
    <s v="Almerinda Mello Miranda"/>
    <s v="Edmilson Carneiro Melo"/>
    <s v="Parda"/>
    <x v="1"/>
    <x v="0"/>
    <s v="Sim"/>
    <n v="1"/>
  </r>
  <r>
    <n v="359"/>
    <s v="Isabel Casanova Mascarenhas"/>
    <d v="1993-01-01T00:00:00"/>
    <x v="32"/>
    <x v="357"/>
    <s v="57100-000"/>
    <x v="90"/>
    <x v="9"/>
    <s v="6261127241"/>
    <s v="395773456865"/>
    <s v="Aida Cunha Casanova"/>
    <s v="Jeremias Baptista Mascarenhas"/>
    <s v="Branca"/>
    <x v="10"/>
    <x v="0"/>
    <s v="Não"/>
    <n v="0"/>
  </r>
  <r>
    <n v="360"/>
    <s v="Felícia Guimaraes Farias"/>
    <d v="1963-03-18T00:00:00"/>
    <x v="38"/>
    <x v="358"/>
    <s v="77015-002"/>
    <x v="65"/>
    <x v="21"/>
    <s v="4596740401"/>
    <s v="522801243093"/>
    <s v="Amélia Marcondes Guimaraes"/>
    <s v="Gisvaldo Horta Farias"/>
    <s v="Parda"/>
    <x v="19"/>
    <x v="3"/>
    <s v="Não"/>
    <n v="0"/>
  </r>
  <r>
    <n v="361"/>
    <s v="Ivone Lourenco Pacheco"/>
    <d v="1964-09-14T00:00:00"/>
    <x v="8"/>
    <x v="359"/>
    <s v="74912-420"/>
    <x v="103"/>
    <x v="6"/>
    <s v="7034493653"/>
    <s v="451608624390"/>
    <s v="Janice Franco Lourenco"/>
    <s v="Geraldo Delgado Pacheco"/>
    <s v="Branca"/>
    <x v="19"/>
    <x v="4"/>
    <s v="Sim"/>
    <n v="3"/>
  </r>
  <r>
    <n v="362"/>
    <s v="Irene Noronha Chaves"/>
    <d v="1987-07-15T00:00:00"/>
    <x v="6"/>
    <x v="360"/>
    <s v="77015-002"/>
    <x v="65"/>
    <x v="21"/>
    <s v="3638179425"/>
    <s v="580764285562"/>
    <s v="Ivone Dornelles Noronha"/>
    <s v="Jesse Teixeira Chaves"/>
    <s v="Branca"/>
    <x v="7"/>
    <x v="0"/>
    <s v="Não"/>
    <n v="0"/>
  </r>
  <r>
    <n v="363"/>
    <s v="Anastacia Pastrocinio Maldonado"/>
    <d v="1973-06-11T00:00:00"/>
    <x v="39"/>
    <x v="361"/>
    <s v="32600-112"/>
    <x v="79"/>
    <x v="23"/>
    <s v="4228051162"/>
    <s v="747832419707"/>
    <s v="Eneida Assis Pastrocinio"/>
    <s v="Jean Laranjeira Maldonado"/>
    <s v="Branca"/>
    <x v="16"/>
    <x v="1"/>
    <s v="Não"/>
    <n v="0"/>
  </r>
  <r>
    <n v="364"/>
    <s v="Augusta Batista Frota"/>
    <d v="1995-01-24T00:00:00"/>
    <x v="43"/>
    <x v="362"/>
    <s v="94030-001"/>
    <x v="84"/>
    <x v="7"/>
    <s v="7844245786"/>
    <s v="371149850007"/>
    <s v="Cilene Caldas Batista"/>
    <s v="Fred Casanova Frota"/>
    <s v="Branca"/>
    <x v="5"/>
    <x v="2"/>
    <s v="Sim"/>
    <n v="7"/>
  </r>
  <r>
    <n v="365"/>
    <s v="Ique Pastore Garrido"/>
    <d v="1995-04-14T00:00:00"/>
    <x v="43"/>
    <x v="363"/>
    <s v="68900-073"/>
    <x v="104"/>
    <x v="2"/>
    <s v="0118695323"/>
    <s v="385202046160"/>
    <s v="Geovana Filgueiras Pastore"/>
    <s v="Adilson Nascimento Garrido"/>
    <s v="Parda"/>
    <x v="6"/>
    <x v="3"/>
    <s v="Não"/>
    <n v="0"/>
  </r>
  <r>
    <n v="366"/>
    <s v="Anselmo Lousada Moita"/>
    <d v="1989-11-17T00:00:00"/>
    <x v="36"/>
    <x v="364"/>
    <s v="75020-010"/>
    <x v="15"/>
    <x v="6"/>
    <s v="5370845750"/>
    <s v="294836131223"/>
    <s v="Luana Mendonca Lousada"/>
    <s v="Helio Jesus Moita"/>
    <s v="Branca"/>
    <x v="8"/>
    <x v="4"/>
    <s v="Não"/>
    <n v="0"/>
  </r>
  <r>
    <n v="367"/>
    <s v="Aparicio Gusmao Nobrega"/>
    <d v="1985-01-28T00:00:00"/>
    <x v="26"/>
    <x v="365"/>
    <s v="45023-490"/>
    <x v="3"/>
    <x v="0"/>
    <s v="0425840916"/>
    <s v="921183879731"/>
    <s v="Bruna Camargo Gusmao"/>
    <s v="Igor Leite Nobrega"/>
    <s v="Branca"/>
    <x v="3"/>
    <x v="0"/>
    <s v="Não"/>
    <n v="0"/>
  </r>
  <r>
    <n v="368"/>
    <s v="Cíntia Souza Palhares"/>
    <d v="1983-02-07T00:00:00"/>
    <x v="46"/>
    <x v="366"/>
    <s v="80060-000"/>
    <x v="43"/>
    <x v="11"/>
    <s v="0493106008"/>
    <s v="195126848943"/>
    <s v="Cíntia Dantas Souza"/>
    <s v="Andrei Aguiar Palhares"/>
    <s v="Preta"/>
    <x v="15"/>
    <x v="0"/>
    <s v="Não"/>
    <n v="0"/>
  </r>
  <r>
    <n v="369"/>
    <s v="Alberto Cordeiro Girao"/>
    <d v="1987-05-15T00:00:00"/>
    <x v="6"/>
    <x v="367"/>
    <s v="78550-000"/>
    <x v="25"/>
    <x v="4"/>
    <s v="1028755861"/>
    <s v="314064922215"/>
    <s v="Carmem Lourenco Cordeiro"/>
    <s v="Breno Teixeira Girao"/>
    <s v="Branca"/>
    <x v="15"/>
    <x v="4"/>
    <s v="Sim"/>
    <n v="6"/>
  </r>
  <r>
    <n v="370"/>
    <s v="Elton Magalhaes Jordao"/>
    <d v="2007-11-15T00:00:00"/>
    <x v="18"/>
    <x v="368"/>
    <s v="69100-043"/>
    <x v="20"/>
    <x v="10"/>
    <s v="5834754266"/>
    <s v="891782276721"/>
    <s v="Dulce Gonzaga Magalhaes"/>
    <s v="Ernesto Andrade Jordao"/>
    <s v="Parda"/>
    <x v="9"/>
    <x v="3"/>
    <s v="Sim"/>
    <n v="4"/>
  </r>
  <r>
    <n v="371"/>
    <s v="Gabriela Camacho Mata"/>
    <d v="1967-07-16T00:00:00"/>
    <x v="29"/>
    <x v="369"/>
    <s v="65631-190"/>
    <x v="33"/>
    <x v="16"/>
    <s v="4673186653"/>
    <s v="538747448875"/>
    <s v="Dafne Chaves Camacho"/>
    <s v="Ricardo Ortega Mata"/>
    <s v="Parda"/>
    <x v="10"/>
    <x v="4"/>
    <s v="Sim"/>
    <n v="3"/>
  </r>
  <r>
    <n v="372"/>
    <s v="Biel Ornellas Monforte"/>
    <d v="1968-03-13T00:00:00"/>
    <x v="14"/>
    <x v="370"/>
    <s v="95010-000"/>
    <x v="99"/>
    <x v="7"/>
    <s v="5187033331"/>
    <s v="939037086090"/>
    <s v="Íris Azevedo Ornellas"/>
    <s v="Edgar Girao Monforte"/>
    <s v="Parda"/>
    <x v="7"/>
    <x v="1"/>
    <s v="Não"/>
    <n v="0"/>
  </r>
  <r>
    <n v="373"/>
    <s v="Cilene Coimbra Noval"/>
    <d v="1998-06-23T00:00:00"/>
    <x v="47"/>
    <x v="371"/>
    <s v="97015-510"/>
    <x v="82"/>
    <x v="7"/>
    <s v="9601070056"/>
    <s v="556172505680"/>
    <s v="Elaine Muniz Coimbra"/>
    <s v="Erico Carneiro Noval"/>
    <s v="Parda"/>
    <x v="8"/>
    <x v="4"/>
    <s v="Sim"/>
    <n v="2"/>
  </r>
  <r>
    <n v="374"/>
    <s v="Pedro Furquim Faria"/>
    <d v="1972-05-28T00:00:00"/>
    <x v="21"/>
    <x v="372"/>
    <s v="45023-490"/>
    <x v="3"/>
    <x v="0"/>
    <s v="3653106994"/>
    <s v="950490227019"/>
    <s v="Eleonora Braga Furquim"/>
    <s v="Erico Mesquita Faria"/>
    <s v="Branca"/>
    <x v="0"/>
    <x v="4"/>
    <s v="Não"/>
    <n v="0"/>
  </r>
  <r>
    <n v="375"/>
    <s v="Antonia Aranha Marcondes"/>
    <d v="1974-05-23T00:00:00"/>
    <x v="0"/>
    <x v="373"/>
    <s v="58013-020"/>
    <x v="100"/>
    <x v="20"/>
    <s v="3448208256"/>
    <s v="625097357684"/>
    <s v="Graciela Gimenez Aranha"/>
    <s v="Djalma Lacerda Marcondes"/>
    <s v="Branca"/>
    <x v="17"/>
    <x v="3"/>
    <s v="Não"/>
    <n v="0"/>
  </r>
  <r>
    <n v="376"/>
    <s v="Alice Noronha Malta"/>
    <d v="1991-04-11T00:00:00"/>
    <x v="22"/>
    <x v="374"/>
    <s v="60150-160"/>
    <x v="106"/>
    <x v="18"/>
    <s v="2981627550"/>
    <s v="943314275575"/>
    <s v="Andrea Horta Noronha"/>
    <s v="Carlos Furquim Malta"/>
    <s v="Preta"/>
    <x v="17"/>
    <x v="0"/>
    <s v="Não"/>
    <n v="0"/>
  </r>
  <r>
    <n v="377"/>
    <s v="Artur Paixao Paiva"/>
    <d v="1977-01-10T00:00:00"/>
    <x v="5"/>
    <x v="375"/>
    <s v="18048-110"/>
    <x v="101"/>
    <x v="12"/>
    <s v="5309994995"/>
    <s v="638785949587"/>
    <s v="Amélia Matos Paixao"/>
    <s v="Daniel Jesus Paiva"/>
    <s v="Parda"/>
    <x v="14"/>
    <x v="0"/>
    <s v="Não"/>
    <n v="0"/>
  </r>
  <r>
    <n v="378"/>
    <s v="Gisvaldo Fonseca Fernandes"/>
    <d v="1995-04-14T00:00:00"/>
    <x v="43"/>
    <x v="376"/>
    <s v="68900-073"/>
    <x v="104"/>
    <x v="2"/>
    <s v="5633587538"/>
    <s v="230001658578"/>
    <s v="Angelica Noval Fonseca"/>
    <s v="Gabriel Cavalcante Fernandes"/>
    <s v="Branca"/>
    <x v="7"/>
    <x v="1"/>
    <s v="Não"/>
    <n v="0"/>
  </r>
  <r>
    <n v="379"/>
    <s v="Cibele Cantanhede Moreira"/>
    <d v="1994-01-03T00:00:00"/>
    <x v="24"/>
    <x v="377"/>
    <s v="72800-000"/>
    <x v="40"/>
    <x v="6"/>
    <s v="1421623504"/>
    <s v="865941859287"/>
    <s v="Almerinda Palhares Cantanhede"/>
    <s v="Arnaldo Evangelista Moreira"/>
    <s v="Indígena"/>
    <x v="10"/>
    <x v="4"/>
    <s v="Não"/>
    <n v="0"/>
  </r>
  <r>
    <n v="380"/>
    <s v="Angelina Castello Bello"/>
    <d v="1971-11-22T00:00:00"/>
    <x v="34"/>
    <x v="378"/>
    <s v="89201-000"/>
    <x v="105"/>
    <x v="19"/>
    <s v="5949563510"/>
    <s v="645164022204"/>
    <s v="Jane Machado Castello"/>
    <s v="Estevao Cunha Bello"/>
    <s v="Parda"/>
    <x v="18"/>
    <x v="2"/>
    <s v="Sim"/>
    <n v="3"/>
  </r>
  <r>
    <n v="381"/>
    <s v="Jaqueline Montenegro Nascimento"/>
    <d v="1985-03-21T00:00:00"/>
    <x v="26"/>
    <x v="379"/>
    <s v="57100-000"/>
    <x v="90"/>
    <x v="9"/>
    <s v="1613286127"/>
    <s v="481133245337"/>
    <s v="Bianca Guimaraes Montenegro"/>
    <s v="Jairo Macedo Nascimento"/>
    <s v="Branca"/>
    <x v="12"/>
    <x v="3"/>
    <s v="Sim"/>
    <n v="3"/>
  </r>
  <r>
    <n v="382"/>
    <s v="Carmem Batista Caceres"/>
    <d v="1996-10-01T00:00:00"/>
    <x v="2"/>
    <x v="380"/>
    <s v="69900-001"/>
    <x v="16"/>
    <x v="13"/>
    <s v="2945006423"/>
    <s v="803687404231"/>
    <s v="Érika Borges Batista"/>
    <s v="Jacinto Espinosa Caceres"/>
    <s v="Branca"/>
    <x v="11"/>
    <x v="1"/>
    <s v="Sim"/>
    <n v="1"/>
  </r>
  <r>
    <n v="383"/>
    <s v="Elisângela Branco Barreto"/>
    <d v="1987-04-09T00:00:00"/>
    <x v="6"/>
    <x v="381"/>
    <s v="78550-000"/>
    <x v="25"/>
    <x v="4"/>
    <s v="9195975415"/>
    <s v="429246156553"/>
    <s v="Analu Mesquita Branco"/>
    <s v="Clovis Lozano Barreto"/>
    <s v="Parda"/>
    <x v="10"/>
    <x v="4"/>
    <s v="Sim"/>
    <n v="1"/>
  </r>
  <r>
    <n v="384"/>
    <s v="Gabriela Passos Montenegro"/>
    <d v="1978-12-28T00:00:00"/>
    <x v="3"/>
    <x v="382"/>
    <s v="59600-005"/>
    <x v="34"/>
    <x v="1"/>
    <s v="2293133998"/>
    <s v="073564747247"/>
    <s v="Dora Henriques Passos"/>
    <s v="Fausto Barreto Montenegro"/>
    <s v="Parda"/>
    <x v="11"/>
    <x v="0"/>
    <s v="Sim"/>
    <n v="3"/>
  </r>
  <r>
    <n v="385"/>
    <s v="Elena Diniz Freitas"/>
    <d v="1980-09-05T00:00:00"/>
    <x v="27"/>
    <x v="383"/>
    <s v="77501-020"/>
    <x v="71"/>
    <x v="21"/>
    <s v="8628465744"/>
    <s v="522096025752"/>
    <s v="Sofia Belmonte Diniz"/>
    <s v="Feliciano Faustino Freitas"/>
    <s v="Preta"/>
    <x v="0"/>
    <x v="3"/>
    <s v="Não"/>
    <n v="0"/>
  </r>
  <r>
    <n v="386"/>
    <s v="Ivonete Filgueiras Horta"/>
    <d v="1987-07-09T00:00:00"/>
    <x v="6"/>
    <x v="384"/>
    <s v="59140-645"/>
    <x v="50"/>
    <x v="1"/>
    <s v="5529874239"/>
    <s v="552509584673"/>
    <s v="Felícia Martins Filgueiras"/>
    <s v="Emerson Lins Horta"/>
    <s v="Amarela"/>
    <x v="13"/>
    <x v="2"/>
    <s v="Não"/>
    <n v="0"/>
  </r>
  <r>
    <n v="387"/>
    <s v="Jane Monforte Henriques"/>
    <d v="2000-01-11T00:00:00"/>
    <x v="7"/>
    <x v="385"/>
    <s v="58013-020"/>
    <x v="100"/>
    <x v="20"/>
    <s v="2245099139"/>
    <s v="313717820913"/>
    <s v="Júlia Ornellas Monforte"/>
    <s v="Angelo Cunha Henriques"/>
    <s v="Branca"/>
    <x v="4"/>
    <x v="2"/>
    <s v="Sim"/>
    <n v="1"/>
  </r>
  <r>
    <n v="388"/>
    <s v="Demétrio Furquim Gama"/>
    <d v="1998-10-14T00:00:00"/>
    <x v="47"/>
    <x v="386"/>
    <s v="68925-001"/>
    <x v="63"/>
    <x v="2"/>
    <s v="1037991207"/>
    <s v="982974270571"/>
    <s v="Geralda Madureira Furquim"/>
    <s v="Iuri Horta Gama"/>
    <s v="Indígena"/>
    <x v="9"/>
    <x v="0"/>
    <s v="Sim"/>
    <n v="2"/>
  </r>
  <r>
    <n v="389"/>
    <s v="Eduardo Diniz Neto"/>
    <d v="1977-01-21T00:00:00"/>
    <x v="5"/>
    <x v="387"/>
    <s v="74110-160"/>
    <x v="32"/>
    <x v="6"/>
    <s v="5809136332"/>
    <s v="659350388582"/>
    <s v="Alexia Camargo Diniz"/>
    <s v="Bento Cabral Neto"/>
    <s v="Parda"/>
    <x v="8"/>
    <x v="1"/>
    <s v="Sim"/>
    <n v="2"/>
  </r>
  <r>
    <n v="390"/>
    <s v="Damaris Marcondes Batista"/>
    <d v="2003-10-13T00:00:00"/>
    <x v="20"/>
    <x v="388"/>
    <s v="97015-510"/>
    <x v="82"/>
    <x v="7"/>
    <s v="2394406280"/>
    <s v="182051702052"/>
    <s v="Fabiola Gusmao Marcondes"/>
    <s v="Gilberto Passos Batista"/>
    <s v="Parda"/>
    <x v="12"/>
    <x v="4"/>
    <s v="Não"/>
    <n v="0"/>
  </r>
  <r>
    <n v="391"/>
    <s v="Djalma Gentil Palma"/>
    <d v="2007-04-13T00:00:00"/>
    <x v="18"/>
    <x v="389"/>
    <s v="90010-420"/>
    <x v="48"/>
    <x v="7"/>
    <s v="6018281733"/>
    <s v="772536097649"/>
    <s v="Clarice Carneiro Gentil"/>
    <s v="Felipe Geraldo Palma"/>
    <s v="Parda"/>
    <x v="6"/>
    <x v="1"/>
    <s v="Não"/>
    <n v="0"/>
  </r>
  <r>
    <n v="392"/>
    <s v="Ismael Paixao Cantanhede"/>
    <d v="1963-01-13T00:00:00"/>
    <x v="38"/>
    <x v="390"/>
    <s v="36013-000"/>
    <x v="94"/>
    <x v="23"/>
    <s v="4491579164"/>
    <s v="564584294973"/>
    <s v="Larissa Espinosa Paixao"/>
    <s v="Demétrio Horta Cantanhede"/>
    <s v="Parda"/>
    <x v="10"/>
    <x v="4"/>
    <s v="Sim"/>
    <n v="1"/>
  </r>
  <r>
    <n v="393"/>
    <s v="Eloá Cardoso Feitosa"/>
    <d v="2002-11-22T00:00:00"/>
    <x v="40"/>
    <x v="391"/>
    <s v="78700-050"/>
    <x v="5"/>
    <x v="4"/>
    <s v="9144172883"/>
    <s v="784328207288"/>
    <s v="Graciela Barreto Cardoso"/>
    <s v="Cristiano Brito Feitosa"/>
    <s v="Branca"/>
    <x v="16"/>
    <x v="0"/>
    <s v="Não"/>
    <n v="0"/>
  </r>
  <r>
    <n v="394"/>
    <s v="Guto Moraes Fernandes"/>
    <d v="1979-04-26T00:00:00"/>
    <x v="12"/>
    <x v="392"/>
    <s v="68900-073"/>
    <x v="104"/>
    <x v="2"/>
    <s v="9714189700"/>
    <s v="884355837357"/>
    <s v="Gabriela Domingues Moraes"/>
    <s v="Hamilton Moreira Fernandes"/>
    <s v="Amarela"/>
    <x v="18"/>
    <x v="1"/>
    <s v="Sim"/>
    <n v="1"/>
  </r>
  <r>
    <n v="395"/>
    <s v="Caciano Nobre Mangabeira"/>
    <d v="1990-05-28T00:00:00"/>
    <x v="42"/>
    <x v="393"/>
    <s v="25620-000"/>
    <x v="38"/>
    <x v="22"/>
    <s v="6100020840"/>
    <s v="966428431271"/>
    <s v="Antonia Matos Nobre"/>
    <s v="Benicio Montenegro Mangabeira"/>
    <s v="Branca"/>
    <x v="1"/>
    <x v="1"/>
    <s v="Não"/>
    <n v="0"/>
  </r>
  <r>
    <n v="396"/>
    <s v="Everton Gama Nobrega"/>
    <d v="1979-02-26T00:00:00"/>
    <x v="12"/>
    <x v="394"/>
    <s v="76900-010"/>
    <x v="81"/>
    <x v="26"/>
    <s v="6720770687"/>
    <s v="412561419993"/>
    <s v="Carminha Lagos Gama"/>
    <s v="Bernardo Borges Nobrega"/>
    <s v="Branca"/>
    <x v="16"/>
    <x v="0"/>
    <s v="Sim"/>
    <n v="2"/>
  </r>
  <r>
    <n v="397"/>
    <s v="Eliana Monteiro Baptista"/>
    <d v="1980-07-03T00:00:00"/>
    <x v="27"/>
    <x v="395"/>
    <s v="40060-001"/>
    <x v="0"/>
    <x v="0"/>
    <s v="3787303462"/>
    <s v="933301883600"/>
    <s v="Ceres Guedes Monteiro"/>
    <s v="Candido Azevedo Baptista"/>
    <s v="Branca"/>
    <x v="2"/>
    <x v="0"/>
    <s v="Não"/>
    <n v="0"/>
  </r>
  <r>
    <n v="398"/>
    <s v="Cíntia Lucena Nobre"/>
    <d v="1978-03-06T00:00:00"/>
    <x v="3"/>
    <x v="396"/>
    <s v="29146-300"/>
    <x v="80"/>
    <x v="24"/>
    <s v="2566921124"/>
    <s v="524919323391"/>
    <s v="Juliana Gomes Lucena"/>
    <s v="Lucas Casagrande Nobre"/>
    <s v="Branca"/>
    <x v="3"/>
    <x v="4"/>
    <s v="Não"/>
    <n v="0"/>
  </r>
  <r>
    <n v="399"/>
    <s v="Alicia Morais Baptista"/>
    <d v="2005-04-02T00:00:00"/>
    <x v="11"/>
    <x v="397"/>
    <s v="87013-000"/>
    <x v="13"/>
    <x v="11"/>
    <s v="7011548480"/>
    <s v="941015862073"/>
    <s v="Jandira Castro Morais"/>
    <s v="Ricardo Nunes Baptista"/>
    <s v="Branca"/>
    <x v="0"/>
    <x v="2"/>
    <s v="Sim"/>
    <n v="1"/>
  </r>
  <r>
    <n v="400"/>
    <s v="Baltazar Gonzaga Palma"/>
    <d v="1962-07-15T00:00:00"/>
    <x v="25"/>
    <x v="398"/>
    <s v="69980-000"/>
    <x v="53"/>
    <x v="13"/>
    <s v="4182532980"/>
    <s v="519623393694"/>
    <s v="Eveline Almeida Gonzaga"/>
    <s v="Erick Rocha Palma"/>
    <s v="Parda"/>
    <x v="6"/>
    <x v="4"/>
    <s v="Não"/>
    <n v="0"/>
  </r>
  <r>
    <n v="401"/>
    <s v="Daniela Teixeira Mello"/>
    <d v="1982-06-13T00:00:00"/>
    <x v="44"/>
    <x v="399"/>
    <s v="53030-010"/>
    <x v="78"/>
    <x v="14"/>
    <s v="0472701734"/>
    <s v="086163194316"/>
    <s v="Isabela Gusmao Teixeira"/>
    <s v="Helio Aranha Mello"/>
    <s v="Preta"/>
    <x v="5"/>
    <x v="0"/>
    <s v="Não"/>
    <n v="0"/>
  </r>
  <r>
    <n v="402"/>
    <s v="Fred Costa Medeiros"/>
    <d v="1976-07-28T00:00:00"/>
    <x v="31"/>
    <x v="400"/>
    <s v="40060-001"/>
    <x v="0"/>
    <x v="0"/>
    <s v="7778040853"/>
    <s v="086512910993"/>
    <s v="Ceres Girao Costa"/>
    <s v="Brian Santos Medeiros"/>
    <s v="Parda"/>
    <x v="4"/>
    <x v="1"/>
    <s v="Não"/>
    <n v="0"/>
  </r>
  <r>
    <n v="403"/>
    <s v="Jesse Fagundes Nascimento"/>
    <d v="1979-04-22T00:00:00"/>
    <x v="12"/>
    <x v="401"/>
    <s v="80060-000"/>
    <x v="43"/>
    <x v="11"/>
    <s v="4024781176"/>
    <s v="154005485831"/>
    <s v="Letícia Mello Fagundes"/>
    <s v="Chico Guimaraes Nascimento"/>
    <s v="Branca"/>
    <x v="17"/>
    <x v="2"/>
    <s v="Sim"/>
    <n v="1"/>
  </r>
  <r>
    <n v="404"/>
    <s v="Jairo Lourenco Macedo"/>
    <d v="1996-07-24T00:00:00"/>
    <x v="2"/>
    <x v="402"/>
    <s v="88101-001"/>
    <x v="62"/>
    <x v="19"/>
    <s v="4232725797"/>
    <s v="134783572351"/>
    <s v="Arlene Assis Lourenco"/>
    <s v="Haroldo Assuncao Macedo"/>
    <s v="Parda"/>
    <x v="14"/>
    <x v="4"/>
    <s v="Sim"/>
    <n v="3"/>
  </r>
  <r>
    <n v="405"/>
    <s v="Almerinda Casanova Teixeira"/>
    <d v="2005-01-05T00:00:00"/>
    <x v="11"/>
    <x v="403"/>
    <s v="95010-000"/>
    <x v="99"/>
    <x v="7"/>
    <s v="8050447834"/>
    <s v="355026113037"/>
    <s v="Ivete Borges Casanova"/>
    <s v="Franciscano Ortega Teixeira"/>
    <s v="Parda"/>
    <x v="3"/>
    <x v="4"/>
    <s v="Sim"/>
    <n v="3"/>
  </r>
  <r>
    <n v="406"/>
    <s v="Andrei Paes Pastrocinio"/>
    <d v="1997-02-09T00:00:00"/>
    <x v="4"/>
    <x v="404"/>
    <s v="74110-160"/>
    <x v="32"/>
    <x v="6"/>
    <s v="7387673138"/>
    <s v="189099910031"/>
    <s v="Carminha Caldas Paes"/>
    <s v="Jasper Gonzaga Pastrocinio"/>
    <s v="Parda"/>
    <x v="0"/>
    <x v="1"/>
    <s v="Não"/>
    <n v="0"/>
  </r>
  <r>
    <n v="407"/>
    <s v="Italo Frota Bueno"/>
    <d v="1961-06-09T00:00:00"/>
    <x v="1"/>
    <x v="405"/>
    <s v="59300-000"/>
    <x v="72"/>
    <x v="1"/>
    <s v="6649977028"/>
    <s v="733281281832"/>
    <s v="Cássia Igrejas Frota"/>
    <s v="Alisson Lozano Bueno"/>
    <s v="Parda"/>
    <x v="2"/>
    <x v="3"/>
    <s v="Sim"/>
    <n v="10"/>
  </r>
  <r>
    <n v="408"/>
    <s v="Isadora Farias Barros"/>
    <d v="1964-12-11T00:00:00"/>
    <x v="8"/>
    <x v="406"/>
    <s v="68925-001"/>
    <x v="63"/>
    <x v="2"/>
    <s v="1794377693"/>
    <s v="423466497470"/>
    <s v="Heloísa Mesquita Farias"/>
    <s v="Cris Magalhaes Barros"/>
    <s v="Preta"/>
    <x v="3"/>
    <x v="3"/>
    <s v="Não"/>
    <n v="0"/>
  </r>
  <r>
    <n v="409"/>
    <s v="Cristiane Avila Jordao"/>
    <d v="1969-06-24T00:00:00"/>
    <x v="41"/>
    <x v="407"/>
    <s v="69050-000"/>
    <x v="12"/>
    <x v="10"/>
    <s v="6782490904"/>
    <s v="062391766485"/>
    <s v="Coralina Carneiro Avila"/>
    <s v="Artur Girao Jordao"/>
    <s v="Preta"/>
    <x v="16"/>
    <x v="4"/>
    <s v="Não"/>
    <n v="0"/>
  </r>
  <r>
    <n v="410"/>
    <s v="Gisvaldo Ladeira Vieira"/>
    <d v="2003-10-19T00:00:00"/>
    <x v="20"/>
    <x v="408"/>
    <s v="85851-000"/>
    <x v="77"/>
    <x v="11"/>
    <s v="2553216011"/>
    <s v="568124325001"/>
    <s v="Andrea Alves Ladeira"/>
    <s v="Breno Magalhaes Vieira"/>
    <s v="Preta"/>
    <x v="8"/>
    <x v="3"/>
    <s v="Não"/>
    <n v="0"/>
  </r>
  <r>
    <n v="411"/>
    <s v="Fabiola Assuncao Lozano"/>
    <d v="1975-10-22T00:00:00"/>
    <x v="15"/>
    <x v="409"/>
    <s v="74110-160"/>
    <x v="32"/>
    <x v="6"/>
    <s v="7556432993"/>
    <s v="556998153282"/>
    <s v="Elisa Miranda Assuncao"/>
    <s v="Aparicio Nunes Lozano"/>
    <s v="Parda"/>
    <x v="6"/>
    <x v="2"/>
    <s v="Sim"/>
    <n v="1"/>
  </r>
  <r>
    <n v="412"/>
    <s v="Cristina Moraes Coimbra"/>
    <d v="1980-01-22T00:00:00"/>
    <x v="27"/>
    <x v="410"/>
    <s v="74110-160"/>
    <x v="32"/>
    <x v="6"/>
    <s v="0230077412"/>
    <s v="038060454924"/>
    <s v="Heloísa Nobre Moraes"/>
    <s v="Erasmo Guerra Coimbra"/>
    <s v="Branca"/>
    <x v="14"/>
    <x v="4"/>
    <s v="Sim"/>
    <n v="1"/>
  </r>
  <r>
    <n v="413"/>
    <s v="Eliane Cardoso Branco"/>
    <d v="1998-06-05T00:00:00"/>
    <x v="47"/>
    <x v="411"/>
    <s v="55012-290"/>
    <x v="17"/>
    <x v="14"/>
    <s v="6453067991"/>
    <s v="883750815944"/>
    <s v="Daniele Muricy Cardoso"/>
    <s v="Lucas Morais Branco"/>
    <s v="Branca"/>
    <x v="4"/>
    <x v="0"/>
    <s v="Sim"/>
    <n v="7"/>
  </r>
  <r>
    <n v="414"/>
    <s v="Bernadete Martins Lourenco"/>
    <d v="1991-02-23T00:00:00"/>
    <x v="22"/>
    <x v="412"/>
    <s v="45654-000"/>
    <x v="22"/>
    <x v="0"/>
    <s v="6881033208"/>
    <s v="784648185354"/>
    <s v="Gisele Muricy Martins"/>
    <s v="Danilo Barreto Lourenco"/>
    <s v="Parda"/>
    <x v="16"/>
    <x v="2"/>
    <s v="Não"/>
    <n v="0"/>
  </r>
  <r>
    <n v="415"/>
    <s v="Flávia Fonseca Cintra"/>
    <d v="2007-04-21T00:00:00"/>
    <x v="18"/>
    <x v="413"/>
    <s v="45023-490"/>
    <x v="3"/>
    <x v="0"/>
    <s v="8336971243"/>
    <s v="382578310136"/>
    <s v="Izabel Melo Fonseca"/>
    <s v="Caio Jardim Cintra"/>
    <s v="Branca"/>
    <x v="16"/>
    <x v="1"/>
    <s v="Não"/>
    <n v="0"/>
  </r>
  <r>
    <n v="416"/>
    <s v="Jane Cardoso Mello"/>
    <d v="1995-07-06T00:00:00"/>
    <x v="43"/>
    <x v="414"/>
    <s v="29100-010"/>
    <x v="92"/>
    <x v="24"/>
    <s v="1829909678"/>
    <s v="899962251958"/>
    <s v="Andrea Monforte Cardoso"/>
    <s v="Candido Lopes Mello"/>
    <s v="Parda"/>
    <x v="8"/>
    <x v="1"/>
    <s v="Não"/>
    <n v="0"/>
  </r>
  <r>
    <n v="417"/>
    <s v="Conceição Ribeiro Campos"/>
    <d v="2006-04-06T00:00:00"/>
    <x v="19"/>
    <x v="415"/>
    <s v="69980-000"/>
    <x v="53"/>
    <x v="13"/>
    <s v="4680493488"/>
    <s v="461685397641"/>
    <s v="Sofia Soares Ribeiro"/>
    <s v="Caio Batista Campos"/>
    <s v="Parda"/>
    <x v="2"/>
    <x v="1"/>
    <s v="Não"/>
    <n v="0"/>
  </r>
  <r>
    <n v="418"/>
    <s v="Aurelia Giacomini Ribeiro"/>
    <d v="1974-12-05T00:00:00"/>
    <x v="0"/>
    <x v="416"/>
    <s v="68925-001"/>
    <x v="63"/>
    <x v="2"/>
    <s v="9928795783"/>
    <s v="960763328171"/>
    <s v="Isadora Nobrega Giacomini"/>
    <s v="Denis Medeiros Ribeiro"/>
    <s v="Branca"/>
    <x v="5"/>
    <x v="4"/>
    <s v="Sim"/>
    <n v="1"/>
  </r>
  <r>
    <n v="419"/>
    <s v="Edmar Gomes Fraga"/>
    <d v="1981-02-16T00:00:00"/>
    <x v="35"/>
    <x v="417"/>
    <s v="28040-706"/>
    <x v="60"/>
    <x v="22"/>
    <s v="2471345780"/>
    <s v="847071097513"/>
    <s v="Glória Firmeza Gomes"/>
    <s v="Arnaldo Passos Fraga"/>
    <s v="Branca"/>
    <x v="15"/>
    <x v="0"/>
    <s v="Não"/>
    <n v="0"/>
  </r>
  <r>
    <n v="420"/>
    <s v="Patrícia Padilha Figueira"/>
    <d v="1985-05-04T00:00:00"/>
    <x v="26"/>
    <x v="418"/>
    <s v="54410-010"/>
    <x v="89"/>
    <x v="14"/>
    <s v="0200667121"/>
    <s v="790320604122"/>
    <s v="Anamaria Rocha Padilha"/>
    <s v="Dario Carneiro Figueira"/>
    <s v="Parda"/>
    <x v="13"/>
    <x v="0"/>
    <s v="Não"/>
    <n v="0"/>
  </r>
  <r>
    <n v="421"/>
    <s v="Edilson Delgado Paixao"/>
    <d v="1968-11-11T00:00:00"/>
    <x v="14"/>
    <x v="419"/>
    <s v="95010-000"/>
    <x v="99"/>
    <x v="7"/>
    <s v="8489194305"/>
    <s v="083360236636"/>
    <s v="Cleide Coimbra Delgado"/>
    <s v="Brian Godoy Paixao"/>
    <s v="Parda"/>
    <x v="18"/>
    <x v="4"/>
    <s v="Não"/>
    <n v="0"/>
  </r>
  <r>
    <n v="422"/>
    <s v="Jaqueline Branco Firmeza"/>
    <d v="1994-04-06T00:00:00"/>
    <x v="24"/>
    <x v="420"/>
    <s v="59140-645"/>
    <x v="50"/>
    <x v="1"/>
    <s v="9031191443"/>
    <s v="504458734822"/>
    <s v="Cordélia Mello Branco"/>
    <s v="Beto Coimbra Firmeza"/>
    <s v="Parda"/>
    <x v="19"/>
    <x v="0"/>
    <s v="Sim"/>
    <n v="1"/>
  </r>
  <r>
    <n v="423"/>
    <s v="Delia Meneses Moraes"/>
    <d v="2008-12-17T00:00:00"/>
    <x v="13"/>
    <x v="421"/>
    <s v="64600-000"/>
    <x v="74"/>
    <x v="5"/>
    <s v="2251010402"/>
    <s v="073815546486"/>
    <s v="Aida Branco Meneses"/>
    <s v="Clodoaldo Gouveia Moraes"/>
    <s v="Parda"/>
    <x v="4"/>
    <x v="2"/>
    <s v="Sim"/>
    <n v="1"/>
  </r>
  <r>
    <n v="424"/>
    <s v="Antonio Passos Pacheco"/>
    <d v="1989-12-06T00:00:00"/>
    <x v="36"/>
    <x v="422"/>
    <s v="59600-005"/>
    <x v="34"/>
    <x v="1"/>
    <s v="6137931290"/>
    <s v="884489400108"/>
    <s v="Isabel Galvao Passos"/>
    <s v="Benicio Camacho Pacheco"/>
    <s v="Amarela"/>
    <x v="12"/>
    <x v="1"/>
    <s v="Não"/>
    <n v="0"/>
  </r>
  <r>
    <n v="425"/>
    <s v="Alencar Vieira Miranda"/>
    <d v="1973-01-23T00:00:00"/>
    <x v="39"/>
    <x v="423"/>
    <s v="68005-080"/>
    <x v="67"/>
    <x v="15"/>
    <s v="4393386257"/>
    <s v="071120696968"/>
    <s v="Guilhermina Muniz Vieira"/>
    <s v="Helio Gentil Miranda"/>
    <s v="Parda"/>
    <x v="7"/>
    <x v="3"/>
    <s v="Não"/>
    <n v="0"/>
  </r>
  <r>
    <n v="426"/>
    <s v="Jacinto Gama Pastore"/>
    <d v="1990-04-12T00:00:00"/>
    <x v="42"/>
    <x v="424"/>
    <s v="25620-000"/>
    <x v="38"/>
    <x v="22"/>
    <s v="6962074839"/>
    <s v="427836521838"/>
    <s v="Deise Matos Gama"/>
    <s v="Isaac Santos Pastore"/>
    <s v="Parda"/>
    <x v="15"/>
    <x v="3"/>
    <s v="Sim"/>
    <n v="1"/>
  </r>
  <r>
    <n v="427"/>
    <s v="Anamaria Fernandes Paiva"/>
    <d v="1983-11-10T00:00:00"/>
    <x v="46"/>
    <x v="425"/>
    <s v="59600-005"/>
    <x v="34"/>
    <x v="1"/>
    <s v="1414093433"/>
    <s v="718614698869"/>
    <s v="Barbara Andrade Fernandes"/>
    <s v="Alejandro Xavier Paiva"/>
    <s v="Parda"/>
    <x v="13"/>
    <x v="2"/>
    <s v="Não"/>
    <n v="0"/>
  </r>
  <r>
    <n v="428"/>
    <s v="Brigite Cunha Filgueiras"/>
    <d v="2003-06-12T00:00:00"/>
    <x v="20"/>
    <x v="426"/>
    <s v="57100-000"/>
    <x v="90"/>
    <x v="9"/>
    <s v="6574953580"/>
    <s v="158766492538"/>
    <s v="Edna Camargo Cunha"/>
    <s v="Jefferson Cabral Filgueiras"/>
    <s v="Parda"/>
    <x v="5"/>
    <x v="4"/>
    <s v="Não"/>
    <n v="0"/>
  </r>
  <r>
    <n v="429"/>
    <s v="Italo Caldas Lagos"/>
    <d v="1964-03-28T00:00:00"/>
    <x v="8"/>
    <x v="427"/>
    <s v="75901-001"/>
    <x v="8"/>
    <x v="6"/>
    <s v="5902810041"/>
    <s v="655760427794"/>
    <s v="Brigite Gomes Caldas"/>
    <s v="Marcelo Henriques Lagos"/>
    <s v="Parda"/>
    <x v="7"/>
    <x v="1"/>
    <s v="Não"/>
    <n v="0"/>
  </r>
  <r>
    <n v="430"/>
    <s v="Carina Braga Neves"/>
    <d v="2007-03-20T00:00:00"/>
    <x v="18"/>
    <x v="428"/>
    <s v="38400-112"/>
    <x v="98"/>
    <x v="23"/>
    <s v="6800182392"/>
    <s v="193697397764"/>
    <s v="Graciela Henriques Braga"/>
    <s v="Gilson Lourenco Neves"/>
    <s v="Preta"/>
    <x v="2"/>
    <x v="2"/>
    <s v="Sim"/>
    <n v="15"/>
  </r>
  <r>
    <n v="431"/>
    <s v="Camila Noval Paranhos"/>
    <d v="1977-01-16T00:00:00"/>
    <x v="5"/>
    <x v="429"/>
    <s v="86020-080"/>
    <x v="27"/>
    <x v="11"/>
    <s v="5112884417"/>
    <s v="852673284006"/>
    <s v="Debora Pamplona Noval"/>
    <s v="Djalmir Marcondes Paranhos"/>
    <s v="Branca"/>
    <x v="9"/>
    <x v="3"/>
    <s v="Não"/>
    <n v="0"/>
  </r>
  <r>
    <n v="432"/>
    <s v="Constança Junqueira Gentil"/>
    <d v="1964-04-11T00:00:00"/>
    <x v="8"/>
    <x v="430"/>
    <s v="53030-010"/>
    <x v="78"/>
    <x v="14"/>
    <s v="4330165147"/>
    <s v="073954484859"/>
    <s v="Arlene Coelho Junqueira"/>
    <s v="Alberto Ferreira Gentil"/>
    <s v="Branca"/>
    <x v="12"/>
    <x v="4"/>
    <s v="Sim"/>
    <n v="3"/>
  </r>
  <r>
    <n v="433"/>
    <s v="Gabriel Meneses Molina"/>
    <d v="1998-03-01T00:00:00"/>
    <x v="47"/>
    <x v="431"/>
    <s v="30120-070"/>
    <x v="39"/>
    <x v="23"/>
    <s v="1884386705"/>
    <s v="640936612134"/>
    <s v="Fausta Inacio Meneses"/>
    <s v="Erasmo Aranha Molina"/>
    <s v="Parda"/>
    <x v="11"/>
    <x v="3"/>
    <s v="Não"/>
    <n v="0"/>
  </r>
  <r>
    <n v="434"/>
    <s v="Frederico Souza Geraldo"/>
    <d v="1983-11-24T00:00:00"/>
    <x v="46"/>
    <x v="432"/>
    <s v="54410-010"/>
    <x v="89"/>
    <x v="14"/>
    <s v="8060542880"/>
    <s v="415137453425"/>
    <s v="Frederica Cintra Souza"/>
    <s v="Fernandinho Passos Geraldo"/>
    <s v="Preta"/>
    <x v="4"/>
    <x v="3"/>
    <s v="Sim"/>
    <n v="3"/>
  </r>
  <r>
    <n v="435"/>
    <s v="Gilberto Macedo Noronha"/>
    <d v="1980-07-13T00:00:00"/>
    <x v="27"/>
    <x v="433"/>
    <s v="76873-002"/>
    <x v="75"/>
    <x v="26"/>
    <s v="9270280792"/>
    <s v="706793058550"/>
    <s v="Cilene Nunes Macedo"/>
    <s v="Gilmar Paiva Noronha"/>
    <s v="Parda"/>
    <x v="16"/>
    <x v="1"/>
    <s v="Sim"/>
    <n v="5"/>
  </r>
  <r>
    <n v="436"/>
    <s v="Débora Jordao Assuncao"/>
    <d v="1974-11-22T00:00:00"/>
    <x v="0"/>
    <x v="434"/>
    <s v="25620-000"/>
    <x v="38"/>
    <x v="22"/>
    <s v="4087097451"/>
    <s v="111470598409"/>
    <s v="Eulália Giacomini Jordao"/>
    <s v="Gustavo Nobre Assuncao"/>
    <s v="Parda"/>
    <x v="6"/>
    <x v="3"/>
    <s v="Sim"/>
    <n v="3"/>
  </r>
  <r>
    <n v="437"/>
    <s v="Alisson Casanova Barreto"/>
    <d v="1994-03-08T00:00:00"/>
    <x v="24"/>
    <x v="435"/>
    <s v="28040-706"/>
    <x v="60"/>
    <x v="22"/>
    <s v="4991792341"/>
    <s v="728517663390"/>
    <s v="Aura Morais Casanova"/>
    <s v="Caciano Fagundes Barreto"/>
    <s v="Parda"/>
    <x v="1"/>
    <x v="4"/>
    <s v="Sim"/>
    <n v="1"/>
  </r>
  <r>
    <n v="438"/>
    <s v="Danilo Giacomini Macedo"/>
    <d v="1970-05-28T00:00:00"/>
    <x v="16"/>
    <x v="436"/>
    <s v="85810-001"/>
    <x v="66"/>
    <x v="11"/>
    <s v="0284177251"/>
    <s v="709753088802"/>
    <s v="Damaris Machado Giacomini"/>
    <s v="Gilmar Casagrande Macedo"/>
    <s v="Parda"/>
    <x v="11"/>
    <x v="0"/>
    <s v="Sim"/>
    <n v="1"/>
  </r>
  <r>
    <n v="439"/>
    <s v="Eduardo Lourenco Noronha"/>
    <d v="1980-03-24T00:00:00"/>
    <x v="27"/>
    <x v="437"/>
    <s v="32310-000"/>
    <x v="44"/>
    <x v="23"/>
    <s v="7448931326"/>
    <s v="069757915813"/>
    <s v="Isabela Aguiar Lourenco"/>
    <s v="Jefferson Palhares Noronha"/>
    <s v="Parda"/>
    <x v="7"/>
    <x v="0"/>
    <s v="Não"/>
    <n v="0"/>
  </r>
  <r>
    <n v="440"/>
    <s v="Gertrudes Ribeiro Pastore"/>
    <d v="1981-07-11T00:00:00"/>
    <x v="35"/>
    <x v="438"/>
    <s v="69100-043"/>
    <x v="20"/>
    <x v="10"/>
    <s v="3530384252"/>
    <s v="837584527628"/>
    <s v="Alexia Lousada Ribeiro"/>
    <s v="Cris Horta Pastore"/>
    <s v="Preta"/>
    <x v="16"/>
    <x v="3"/>
    <s v="Sim"/>
    <n v="3"/>
  </r>
  <r>
    <n v="441"/>
    <s v="Cleusa Garcez Malta"/>
    <d v="2005-05-26T00:00:00"/>
    <x v="11"/>
    <x v="439"/>
    <s v="75901-001"/>
    <x v="8"/>
    <x v="6"/>
    <s v="5292555948"/>
    <s v="062540030184"/>
    <s v="Constança Lins Garcez"/>
    <s v="Jandir Montenegro Malta"/>
    <s v="Parda"/>
    <x v="3"/>
    <x v="3"/>
    <s v="Sim"/>
    <n v="1"/>
  </r>
  <r>
    <n v="442"/>
    <s v="Geremias Neves Avila"/>
    <d v="1976-05-23T00:00:00"/>
    <x v="31"/>
    <x v="440"/>
    <s v="69980-000"/>
    <x v="53"/>
    <x v="13"/>
    <s v="4752440096"/>
    <s v="349493457155"/>
    <s v="Guiomar Assis Neves"/>
    <s v="Clovis Azevedo Avila"/>
    <s v="Branca"/>
    <x v="19"/>
    <x v="2"/>
    <s v="Sim"/>
    <n v="4"/>
  </r>
  <r>
    <n v="443"/>
    <s v="Ariela Andrade Guimaraes"/>
    <d v="1984-12-10T00:00:00"/>
    <x v="23"/>
    <x v="441"/>
    <s v="32600-112"/>
    <x v="79"/>
    <x v="23"/>
    <s v="9124275891"/>
    <s v="623825529225"/>
    <s v="Jane Esteves Andrade"/>
    <s v="Ernesto Guedes Guimaraes"/>
    <s v="Preta"/>
    <x v="18"/>
    <x v="0"/>
    <s v="Não"/>
    <n v="0"/>
  </r>
  <r>
    <n v="444"/>
    <s v="Celso Nogueira Caldas"/>
    <d v="1967-04-05T00:00:00"/>
    <x v="29"/>
    <x v="442"/>
    <s v="65074-199"/>
    <x v="55"/>
    <x v="16"/>
    <s v="8113876077"/>
    <s v="346210421463"/>
    <s v="Cássia Braga Nogueira"/>
    <s v="Amauri Machado Caldas"/>
    <s v="Parda"/>
    <x v="18"/>
    <x v="3"/>
    <s v="Sim"/>
    <n v="6"/>
  </r>
  <r>
    <n v="445"/>
    <s v="Eric Pacheco Assis"/>
    <d v="1963-05-26T00:00:00"/>
    <x v="38"/>
    <x v="443"/>
    <s v="74912-420"/>
    <x v="103"/>
    <x v="6"/>
    <s v="6390812341"/>
    <s v="270337564177"/>
    <s v="Elisa Dias Pacheco"/>
    <s v="Iomar Franco Assis"/>
    <s v="Branca"/>
    <x v="18"/>
    <x v="1"/>
    <s v="Sim"/>
    <n v="6"/>
  </r>
  <r>
    <n v="446"/>
    <s v="Ineu Ladeira Pastrocinio"/>
    <d v="1968-01-02T00:00:00"/>
    <x v="14"/>
    <x v="444"/>
    <s v="78700-050"/>
    <x v="5"/>
    <x v="4"/>
    <s v="5397693249"/>
    <s v="368658070090"/>
    <s v="Danubia Pinto Ladeira"/>
    <s v="Jesse Bueno Pastrocinio"/>
    <s v="Parda"/>
    <x v="0"/>
    <x v="4"/>
    <s v="Não"/>
    <n v="0"/>
  </r>
  <r>
    <n v="447"/>
    <s v="Catarina Assuncao Jordao"/>
    <d v="2004-04-24T00:00:00"/>
    <x v="17"/>
    <x v="445"/>
    <s v="87013-000"/>
    <x v="13"/>
    <x v="11"/>
    <s v="8051598330"/>
    <s v="814631303018"/>
    <s v="Ceres Meireles Assuncao"/>
    <s v="Gledson Barbosa Jordao"/>
    <s v="Amarela"/>
    <x v="7"/>
    <x v="3"/>
    <s v="Sim"/>
    <n v="2"/>
  </r>
  <r>
    <n v="448"/>
    <s v="Cesar Magalhaes Pinto"/>
    <d v="1963-10-10T00:00:00"/>
    <x v="38"/>
    <x v="446"/>
    <s v="68900-073"/>
    <x v="104"/>
    <x v="2"/>
    <s v="4588320313"/>
    <s v="734986457269"/>
    <s v="Cleonice Ribeiro Magalhaes"/>
    <s v="João Camacho Pinto"/>
    <s v="Preta"/>
    <x v="16"/>
    <x v="3"/>
    <s v="Não"/>
    <n v="0"/>
  </r>
  <r>
    <n v="449"/>
    <s v="Aparicio Miranda Costa"/>
    <d v="1991-03-14T00:00:00"/>
    <x v="22"/>
    <x v="447"/>
    <s v="87013-000"/>
    <x v="13"/>
    <x v="11"/>
    <s v="1225152632"/>
    <s v="343340711858"/>
    <s v="Sofia Oliveira Miranda"/>
    <s v="Adilson Muricy Costa"/>
    <s v="Amarela"/>
    <x v="11"/>
    <x v="3"/>
    <s v="Sim"/>
    <n v="3"/>
  </r>
  <r>
    <n v="450"/>
    <s v="Constança Borges Baptista"/>
    <d v="1974-07-05T00:00:00"/>
    <x v="0"/>
    <x v="448"/>
    <s v="01310-100"/>
    <x v="14"/>
    <x v="12"/>
    <s v="7116015377"/>
    <s v="975588545694"/>
    <s v="Janaina Maldonado Borges"/>
    <s v="Heitor Muricy Baptista"/>
    <s v="Branca"/>
    <x v="5"/>
    <x v="0"/>
    <s v="Não"/>
    <n v="0"/>
  </r>
  <r>
    <n v="451"/>
    <s v="Denise Garrido Negrao"/>
    <d v="1976-01-15T00:00:00"/>
    <x v="31"/>
    <x v="449"/>
    <s v="88015-100"/>
    <x v="61"/>
    <x v="19"/>
    <s v="0762451189"/>
    <s v="067400500020"/>
    <s v="Heloísa Ferreira Garrido"/>
    <s v="Ives Lagos Negrao"/>
    <s v="Branca"/>
    <x v="18"/>
    <x v="4"/>
    <s v="Não"/>
    <n v="0"/>
  </r>
  <r>
    <n v="452"/>
    <s v="Júlia Paiva Castello"/>
    <d v="1966-07-19T00:00:00"/>
    <x v="28"/>
    <x v="450"/>
    <s v="12245-010"/>
    <x v="45"/>
    <x v="12"/>
    <s v="1021966648"/>
    <s v="190279765896"/>
    <s v="Cacilda Pereira Paiva"/>
    <s v="Helder Mata Castello"/>
    <s v="Branca"/>
    <x v="15"/>
    <x v="4"/>
    <s v="Sim"/>
    <n v="7"/>
  </r>
  <r>
    <n v="453"/>
    <s v="Dalila Nobrega Muricy"/>
    <d v="1973-01-18T00:00:00"/>
    <x v="39"/>
    <x v="451"/>
    <s v="36013-000"/>
    <x v="94"/>
    <x v="23"/>
    <s v="6043618332"/>
    <s v="907473296044"/>
    <s v="Maria Marinho Nobrega"/>
    <s v="Igor Pastore Muricy"/>
    <s v="Parda"/>
    <x v="9"/>
    <x v="0"/>
    <s v="Sim"/>
    <n v="1"/>
  </r>
  <r>
    <n v="454"/>
    <s v="Júlia Campos Batista"/>
    <d v="1986-12-23T00:00:00"/>
    <x v="45"/>
    <x v="452"/>
    <s v="88101-001"/>
    <x v="62"/>
    <x v="19"/>
    <s v="6415131201"/>
    <s v="252612606752"/>
    <s v="Eloá Pinto Campos"/>
    <s v="Emanuel Assuncao Batista"/>
    <s v="Branca"/>
    <x v="0"/>
    <x v="0"/>
    <s v="Não"/>
    <n v="0"/>
  </r>
  <r>
    <n v="455"/>
    <s v="Constança Mendes Bueno"/>
    <d v="2007-08-22T00:00:00"/>
    <x v="18"/>
    <x v="453"/>
    <s v="66060-230"/>
    <x v="83"/>
    <x v="15"/>
    <s v="2031687120"/>
    <s v="815267665810"/>
    <s v="Cleide Barros Mendes"/>
    <s v="Eduardo Baptista Bueno"/>
    <s v="Parda"/>
    <x v="12"/>
    <x v="4"/>
    <s v="Sim"/>
    <n v="3"/>
  </r>
  <r>
    <n v="456"/>
    <s v="Heitor Santos Nogueira"/>
    <d v="1993-06-18T00:00:00"/>
    <x v="32"/>
    <x v="454"/>
    <s v="76900-010"/>
    <x v="81"/>
    <x v="26"/>
    <s v="5568935263"/>
    <s v="565181473510"/>
    <s v="Izabel Lourenco Santos"/>
    <s v="Camilo Chaves Nogueira"/>
    <s v="Branca"/>
    <x v="3"/>
    <x v="0"/>
    <s v="Não"/>
    <n v="0"/>
  </r>
  <r>
    <n v="457"/>
    <s v="Carina Jardim Pastore"/>
    <d v="1978-04-14T00:00:00"/>
    <x v="3"/>
    <x v="455"/>
    <s v="70340-000"/>
    <x v="28"/>
    <x v="17"/>
    <s v="6006435582"/>
    <s v="362311630428"/>
    <s v="Isabel Nobrega Jardim"/>
    <s v="Caio Lopes Pastore"/>
    <s v="Preta"/>
    <x v="10"/>
    <x v="1"/>
    <s v="Sim"/>
    <n v="1"/>
  </r>
  <r>
    <n v="458"/>
    <s v="Estela Cabral Castello"/>
    <d v="2000-12-21T00:00:00"/>
    <x v="7"/>
    <x v="456"/>
    <s v="45654-000"/>
    <x v="22"/>
    <x v="0"/>
    <s v="1462307969"/>
    <s v="039119320274"/>
    <s v="Daiana Casanova Cabral"/>
    <s v="Edvaldo Medeiros Castello"/>
    <s v="Branca"/>
    <x v="7"/>
    <x v="4"/>
    <s v="Não"/>
    <n v="0"/>
  </r>
  <r>
    <n v="459"/>
    <s v="Camila Casanova Henriques"/>
    <d v="1977-09-16T00:00:00"/>
    <x v="5"/>
    <x v="457"/>
    <s v="74110-160"/>
    <x v="32"/>
    <x v="6"/>
    <s v="3828333833"/>
    <s v="908224670648"/>
    <s v="Gertrudes Lima Casanova"/>
    <s v="Anselmo Domingues Henriques"/>
    <s v="Parda"/>
    <x v="8"/>
    <x v="2"/>
    <s v="Sim"/>
    <n v="1"/>
  </r>
  <r>
    <n v="460"/>
    <s v="Donizete Mendonca Junqueira"/>
    <d v="1976-10-11T00:00:00"/>
    <x v="31"/>
    <x v="458"/>
    <s v="69375-000"/>
    <x v="10"/>
    <x v="8"/>
    <s v="1821994937"/>
    <s v="656280350894"/>
    <s v="Jane Cavalcante Mendonca"/>
    <s v="Gelson Molina Junqueira"/>
    <s v="Parda"/>
    <x v="3"/>
    <x v="4"/>
    <s v="Sim"/>
    <n v="1"/>
  </r>
  <r>
    <n v="461"/>
    <s v="Andrei Neto Montenegro"/>
    <d v="1973-09-20T00:00:00"/>
    <x v="39"/>
    <x v="459"/>
    <s v="65631-190"/>
    <x v="33"/>
    <x v="16"/>
    <s v="9270265676"/>
    <s v="532032012574"/>
    <s v="Alicia Lucena Neto"/>
    <s v="Fabiano Baptista Montenegro"/>
    <s v="Parda"/>
    <x v="1"/>
    <x v="1"/>
    <s v="Não"/>
    <n v="0"/>
  </r>
  <r>
    <n v="462"/>
    <s v="Gelson Maciel Paschoal"/>
    <d v="1981-05-01T00:00:00"/>
    <x v="35"/>
    <x v="460"/>
    <s v="74912-420"/>
    <x v="103"/>
    <x v="6"/>
    <s v="5675763828"/>
    <s v="443595195715"/>
    <s v="Denise Caldeira Maciel"/>
    <s v="Biel Paixao Paschoal"/>
    <s v="Parda"/>
    <x v="7"/>
    <x v="0"/>
    <s v="Sim"/>
    <n v="15"/>
  </r>
  <r>
    <n v="463"/>
    <s v="Irene Girao Jardim"/>
    <d v="1987-11-03T00:00:00"/>
    <x v="6"/>
    <x v="461"/>
    <s v="45654-000"/>
    <x v="22"/>
    <x v="0"/>
    <s v="6940142586"/>
    <s v="843897567481"/>
    <s v="Juliana Machado Girao"/>
    <s v="Jean Naves Jardim"/>
    <s v="Branca"/>
    <x v="6"/>
    <x v="3"/>
    <s v="Sim"/>
    <n v="1"/>
  </r>
  <r>
    <n v="464"/>
    <s v="Giordano Aguiar Machado"/>
    <d v="1989-10-17T00:00:00"/>
    <x v="36"/>
    <x v="462"/>
    <s v="25620-000"/>
    <x v="38"/>
    <x v="22"/>
    <s v="0498276051"/>
    <s v="511358785288"/>
    <s v="Cibele Bueno Aguiar"/>
    <s v="Adilson Fraga Machado"/>
    <s v="Preta"/>
    <x v="2"/>
    <x v="0"/>
    <s v="Não"/>
    <n v="0"/>
  </r>
  <r>
    <n v="465"/>
    <s v="Alice Ribeiro Figueira"/>
    <d v="2000-01-21T00:00:00"/>
    <x v="7"/>
    <x v="463"/>
    <s v="25010-001"/>
    <x v="52"/>
    <x v="22"/>
    <s v="5444664205"/>
    <s v="433900555700"/>
    <s v="Angelina Araujo Ribeiro"/>
    <s v="Chico Macedo Figueira"/>
    <s v="Parda"/>
    <x v="14"/>
    <x v="4"/>
    <s v="Sim"/>
    <n v="3"/>
  </r>
  <r>
    <n v="466"/>
    <s v="Geraldo Braga Cabral"/>
    <d v="1961-09-24T00:00:00"/>
    <x v="1"/>
    <x v="464"/>
    <s v="65631-190"/>
    <x v="33"/>
    <x v="16"/>
    <s v="6470196046"/>
    <s v="895167383942"/>
    <s v="Amélia Nogueira Braga"/>
    <s v="Israel Nascimento Cabral"/>
    <s v="Amarela"/>
    <x v="15"/>
    <x v="4"/>
    <s v="Não"/>
    <n v="0"/>
  </r>
  <r>
    <n v="467"/>
    <s v="Gertrudes Assuncao Freire"/>
    <d v="2005-02-02T00:00:00"/>
    <x v="11"/>
    <x v="465"/>
    <s v="62010-290"/>
    <x v="49"/>
    <x v="18"/>
    <s v="2823064306"/>
    <s v="824587619480"/>
    <s v="Agatha Belmonte Assuncao"/>
    <s v="Edvaldo Barreto Freire"/>
    <s v="Preta"/>
    <x v="1"/>
    <x v="2"/>
    <s v="Sim"/>
    <n v="1"/>
  </r>
  <r>
    <n v="468"/>
    <s v="Iuri Xavier Girao"/>
    <d v="1986-02-16T00:00:00"/>
    <x v="45"/>
    <x v="466"/>
    <s v="65606-010"/>
    <x v="24"/>
    <x v="16"/>
    <s v="0717723319"/>
    <s v="132210516914"/>
    <s v="Alessandra Mendes Xavier"/>
    <s v="Cassio Marinho Girao"/>
    <s v="Parda"/>
    <x v="4"/>
    <x v="3"/>
    <s v="Sim"/>
    <n v="11"/>
  </r>
  <r>
    <n v="469"/>
    <s v="Estevao Bueno Delgado"/>
    <d v="1970-02-18T00:00:00"/>
    <x v="16"/>
    <x v="467"/>
    <s v="70340-000"/>
    <x v="28"/>
    <x v="17"/>
    <s v="6003634576"/>
    <s v="723704730908"/>
    <s v="Jane Paixao Bueno"/>
    <s v="Dagoberto Branco Delgado"/>
    <s v="Parda"/>
    <x v="18"/>
    <x v="0"/>
    <s v="Não"/>
    <n v="0"/>
  </r>
  <r>
    <n v="470"/>
    <s v="Jamil Silva Caceres"/>
    <d v="1976-03-19T00:00:00"/>
    <x v="31"/>
    <x v="468"/>
    <s v="27260-120"/>
    <x v="64"/>
    <x v="22"/>
    <s v="7657105609"/>
    <s v="618677644331"/>
    <s v="Angelica Inacio Silva"/>
    <s v="Gilberto Jardim Caceres"/>
    <s v="Branca"/>
    <x v="14"/>
    <x v="2"/>
    <s v="Sim"/>
    <n v="1"/>
  </r>
  <r>
    <n v="471"/>
    <s v="Érika Macedo Almeida"/>
    <d v="1965-07-24T00:00:00"/>
    <x v="30"/>
    <x v="469"/>
    <s v="68005-080"/>
    <x v="67"/>
    <x v="15"/>
    <s v="5343350113"/>
    <s v="593402626305"/>
    <s v="Angelina Coelho Macedo"/>
    <s v="Gian Carvalho Almeida"/>
    <s v="Branca"/>
    <x v="16"/>
    <x v="2"/>
    <s v="Sim"/>
    <n v="1"/>
  </r>
  <r>
    <n v="472"/>
    <s v="Jeane Muricy Matos"/>
    <d v="1964-06-16T00:00:00"/>
    <x v="8"/>
    <x v="470"/>
    <s v="50711-000"/>
    <x v="36"/>
    <x v="14"/>
    <s v="6609908474"/>
    <s v="038563211222"/>
    <s v="Angelica Neto Muricy"/>
    <s v="Erico Caldas Matos"/>
    <s v="Preta"/>
    <x v="14"/>
    <x v="1"/>
    <s v="Sim"/>
    <n v="2"/>
  </r>
  <r>
    <n v="473"/>
    <s v="David Cavalcante Lozano"/>
    <d v="2001-07-11T00:00:00"/>
    <x v="9"/>
    <x v="471"/>
    <s v="88101-001"/>
    <x v="62"/>
    <x v="19"/>
    <s v="5544347683"/>
    <s v="312879257398"/>
    <s v="Heloísa Palhares Cavalcante"/>
    <s v="Euzebio Filgueiras Lozano"/>
    <s v="Parda"/>
    <x v="6"/>
    <x v="4"/>
    <s v="Não"/>
    <n v="0"/>
  </r>
  <r>
    <n v="474"/>
    <s v="Almerinda Franco Avila"/>
    <d v="1997-09-24T00:00:00"/>
    <x v="4"/>
    <x v="472"/>
    <s v="32600-112"/>
    <x v="79"/>
    <x v="23"/>
    <s v="3218789694"/>
    <s v="246475168895"/>
    <s v="Ivonete Caldeira Franco"/>
    <s v="Casemiro Cantanhede Avila"/>
    <s v="Preta"/>
    <x v="18"/>
    <x v="4"/>
    <s v="Não"/>
    <n v="0"/>
  </r>
  <r>
    <n v="475"/>
    <s v="Samuel Borges Passos"/>
    <d v="1967-09-01T00:00:00"/>
    <x v="29"/>
    <x v="473"/>
    <s v="86020-080"/>
    <x v="27"/>
    <x v="11"/>
    <s v="7432644234"/>
    <s v="672807583910"/>
    <s v="Ester Monforte Borges"/>
    <s v="Ildo Marcondes Passos"/>
    <s v="Preta"/>
    <x v="14"/>
    <x v="0"/>
    <s v="Não"/>
    <n v="0"/>
  </r>
  <r>
    <n v="476"/>
    <s v="Elisabete Melo Almeida"/>
    <d v="1987-11-07T00:00:00"/>
    <x v="6"/>
    <x v="474"/>
    <s v="76804-015"/>
    <x v="107"/>
    <x v="26"/>
    <s v="4564761133"/>
    <s v="989744458101"/>
    <s v="Helena Lousada Melo"/>
    <s v="Hermes Lourdes Almeida"/>
    <s v="Branca"/>
    <x v="9"/>
    <x v="0"/>
    <s v="Sim"/>
    <n v="2"/>
  </r>
  <r>
    <n v="477"/>
    <s v="Ilan Rodrigues Martins"/>
    <d v="1991-04-22T00:00:00"/>
    <x v="22"/>
    <x v="475"/>
    <s v="88101-001"/>
    <x v="62"/>
    <x v="19"/>
    <s v="0143195007"/>
    <s v="042440737364"/>
    <s v="Alana Pamplona Rodrigues"/>
    <s v="Erasmo Mesquita Martins"/>
    <s v="Parda"/>
    <x v="8"/>
    <x v="4"/>
    <s v="Não"/>
    <n v="0"/>
  </r>
  <r>
    <n v="478"/>
    <s v="Apostolo Moraes Leite"/>
    <d v="1983-06-01T00:00:00"/>
    <x v="46"/>
    <x v="476"/>
    <s v="74912-420"/>
    <x v="103"/>
    <x v="6"/>
    <s v="8563209415"/>
    <s v="292676159815"/>
    <s v="Amanda Borges Moraes"/>
    <s v="Djalmir Rocha Leite"/>
    <s v="Branca"/>
    <x v="19"/>
    <x v="0"/>
    <s v="Sim"/>
    <n v="7"/>
  </r>
  <r>
    <n v="479"/>
    <s v="Douglas Lagos Moura"/>
    <d v="2003-02-27T00:00:00"/>
    <x v="20"/>
    <x v="477"/>
    <s v="85851-000"/>
    <x v="77"/>
    <x v="11"/>
    <s v="0274484221"/>
    <s v="890190291023"/>
    <s v="Beatriz Campos Lagos"/>
    <s v="Franciscano Nobrega Moura"/>
    <s v="Branca"/>
    <x v="17"/>
    <x v="4"/>
    <s v="Não"/>
    <n v="0"/>
  </r>
  <r>
    <n v="480"/>
    <s v="Giovanni Dantas Domingues"/>
    <d v="1999-05-15T00:00:00"/>
    <x v="10"/>
    <x v="478"/>
    <s v="92200-630"/>
    <x v="9"/>
    <x v="7"/>
    <s v="3086728693"/>
    <s v="158053431142"/>
    <s v="Fabiana Faustino Dantas"/>
    <s v="Dante Maldonado Domingues"/>
    <s v="Preta"/>
    <x v="7"/>
    <x v="1"/>
    <s v="Sim"/>
    <n v="6"/>
  </r>
  <r>
    <n v="481"/>
    <s v="Enzo Filgueiras Goulart"/>
    <d v="1981-04-12T00:00:00"/>
    <x v="35"/>
    <x v="479"/>
    <s v="25010-001"/>
    <x v="52"/>
    <x v="22"/>
    <s v="2292751700"/>
    <s v="152585896033"/>
    <s v="Elena Dias Filgueiras"/>
    <s v="Henrique Cabral Goulart"/>
    <s v="Parda"/>
    <x v="10"/>
    <x v="4"/>
    <s v="Sim"/>
    <n v="5"/>
  </r>
  <r>
    <n v="482"/>
    <s v="Carla Gentil Jordao"/>
    <d v="1976-02-07T00:00:00"/>
    <x v="31"/>
    <x v="480"/>
    <s v="58400-220"/>
    <x v="76"/>
    <x v="20"/>
    <s v="2950109743"/>
    <s v="896246187035"/>
    <s v="Gisela Molina Gentil"/>
    <s v="Helder Carrasco Jordao"/>
    <s v="Parda"/>
    <x v="10"/>
    <x v="1"/>
    <s v="Sim"/>
    <n v="1"/>
  </r>
  <r>
    <n v="483"/>
    <s v="Amaro Lago Pastore"/>
    <d v="2000-11-07T00:00:00"/>
    <x v="7"/>
    <x v="481"/>
    <s v="65900-000"/>
    <x v="35"/>
    <x v="16"/>
    <s v="8165900148"/>
    <s v="701151045343"/>
    <s v="Carmem Brito Lago"/>
    <s v="Camilo Figueiredo Pastore"/>
    <s v="Branca"/>
    <x v="14"/>
    <x v="3"/>
    <s v="Sim"/>
    <n v="1"/>
  </r>
  <r>
    <n v="484"/>
    <s v="Fabio Marques Lozano"/>
    <d v="2007-06-08T00:00:00"/>
    <x v="18"/>
    <x v="482"/>
    <s v="28040-706"/>
    <x v="60"/>
    <x v="22"/>
    <s v="4335954665"/>
    <s v="127466124706"/>
    <s v="Anastacia Garcez Marques"/>
    <s v="Djalma Lima Lozano"/>
    <s v="Parda"/>
    <x v="19"/>
    <x v="0"/>
    <s v="Não"/>
    <n v="0"/>
  </r>
  <r>
    <n v="485"/>
    <s v="Angelo Leite Marques"/>
    <d v="1994-03-14T00:00:00"/>
    <x v="24"/>
    <x v="483"/>
    <s v="68925-001"/>
    <x v="63"/>
    <x v="2"/>
    <s v="2745931941"/>
    <s v="581020694478"/>
    <s v="Evelin Ferreira Leite"/>
    <s v="Ildo Braga Marques"/>
    <s v="Branca"/>
    <x v="19"/>
    <x v="1"/>
    <s v="Sim"/>
    <n v="1"/>
  </r>
  <r>
    <n v="486"/>
    <s v="Igor Casanova Malta"/>
    <d v="1974-05-22T00:00:00"/>
    <x v="0"/>
    <x v="484"/>
    <s v="22021-001"/>
    <x v="87"/>
    <x v="22"/>
    <s v="3098299330"/>
    <s v="460210587814"/>
    <s v="Alana Mesquita Casanova"/>
    <s v="Aparicio Bittencourt Malta"/>
    <s v="Parda"/>
    <x v="14"/>
    <x v="3"/>
    <s v="Sim"/>
    <n v="1"/>
  </r>
  <r>
    <n v="487"/>
    <s v="Jane Lins Lima"/>
    <d v="1972-02-05T00:00:00"/>
    <x v="21"/>
    <x v="485"/>
    <s v="61600-004"/>
    <x v="46"/>
    <x v="18"/>
    <s v="1680718357"/>
    <s v="581494557518"/>
    <s v="Estela Lourenco Lins"/>
    <s v="Aurelio Assuncao Lima"/>
    <s v="Preta"/>
    <x v="3"/>
    <x v="1"/>
    <s v="Não"/>
    <n v="0"/>
  </r>
  <r>
    <n v="488"/>
    <s v="Sofia Rodrigues Castro"/>
    <d v="1978-02-19T00:00:00"/>
    <x v="3"/>
    <x v="486"/>
    <s v="89201-000"/>
    <x v="105"/>
    <x v="19"/>
    <s v="4784857525"/>
    <s v="280988520143"/>
    <s v="Aura Feitosa Rodrigues"/>
    <s v="Benjamin Esteves Castro"/>
    <s v="Branca"/>
    <x v="2"/>
    <x v="2"/>
    <s v="Não"/>
    <n v="0"/>
  </r>
  <r>
    <n v="489"/>
    <s v="Sofia Padilha Faria"/>
    <d v="1996-01-25T00:00:00"/>
    <x v="2"/>
    <x v="487"/>
    <s v="65631-190"/>
    <x v="33"/>
    <x v="16"/>
    <s v="1151211825"/>
    <s v="054190390793"/>
    <s v="Dalila Mangabeira Padilha"/>
    <s v="Flavio Melo Faria"/>
    <s v="Branca"/>
    <x v="10"/>
    <x v="1"/>
    <s v="Sim"/>
    <n v="1"/>
  </r>
  <r>
    <n v="490"/>
    <s v="Ricardo Lopes Antunes"/>
    <d v="1971-08-09T00:00:00"/>
    <x v="34"/>
    <x v="488"/>
    <s v="63010-010"/>
    <x v="29"/>
    <x v="18"/>
    <s v="4711925498"/>
    <s v="084645186614"/>
    <s v="Elisabete Alves Lopes"/>
    <s v="Ferdinando Pacheco Antunes"/>
    <s v="Preta"/>
    <x v="0"/>
    <x v="4"/>
    <s v="Sim"/>
    <n v="1"/>
  </r>
  <r>
    <n v="491"/>
    <s v="Edna Mesquita Nogueira"/>
    <d v="1996-02-14T00:00:00"/>
    <x v="2"/>
    <x v="489"/>
    <s v="13012-000"/>
    <x v="93"/>
    <x v="12"/>
    <s v="8795683519"/>
    <s v="416039386417"/>
    <s v="Juliana Negrao Mesquita"/>
    <s v="Denilson Andrade Nogueira"/>
    <s v="Branca"/>
    <x v="16"/>
    <x v="2"/>
    <s v="Não"/>
    <n v="0"/>
  </r>
  <r>
    <n v="492"/>
    <s v="Jeremias Diniz Araujo"/>
    <d v="1972-04-01T00:00:00"/>
    <x v="21"/>
    <x v="490"/>
    <s v="36013-000"/>
    <x v="94"/>
    <x v="23"/>
    <s v="2402986167"/>
    <s v="378763760162"/>
    <s v="Astrid Cavalcante Diniz"/>
    <s v="Adalberto Muniz Araujo"/>
    <s v="Parda"/>
    <x v="9"/>
    <x v="3"/>
    <s v="Não"/>
    <n v="0"/>
  </r>
  <r>
    <n v="493"/>
    <s v="Adriano Faria Pereira"/>
    <d v="2002-06-02T00:00:00"/>
    <x v="40"/>
    <x v="491"/>
    <s v="75020-010"/>
    <x v="15"/>
    <x v="6"/>
    <s v="1499188670"/>
    <s v="608790975742"/>
    <s v="Amanda Moraes Faria"/>
    <s v="Iuri Pamplona Pereira"/>
    <s v="Parda"/>
    <x v="2"/>
    <x v="2"/>
    <s v="Não"/>
    <n v="0"/>
  </r>
  <r>
    <n v="494"/>
    <s v="Helena Lousada Ferreira"/>
    <d v="1979-02-20T00:00:00"/>
    <x v="12"/>
    <x v="492"/>
    <s v="64204-035"/>
    <x v="41"/>
    <x v="5"/>
    <s v="0536999532"/>
    <s v="995415826989"/>
    <s v="Júlia Macedo Lousada"/>
    <s v="Erico Pamplona Ferreira"/>
    <s v="Parda"/>
    <x v="4"/>
    <x v="4"/>
    <s v="Sim"/>
    <n v="1"/>
  </r>
  <r>
    <n v="495"/>
    <s v="Bernardo Bittencourt Freitas"/>
    <d v="2003-08-13T00:00:00"/>
    <x v="20"/>
    <x v="493"/>
    <s v="68900-073"/>
    <x v="104"/>
    <x v="2"/>
    <s v="3513951042"/>
    <s v="156730559062"/>
    <s v="Janaina Maciel Bittencourt"/>
    <s v="Aldo Geraldo Freitas"/>
    <s v="Parda"/>
    <x v="5"/>
    <x v="2"/>
    <s v="Não"/>
    <n v="0"/>
  </r>
  <r>
    <n v="496"/>
    <s v="Hermes Franco Diniz"/>
    <d v="1994-05-15T00:00:00"/>
    <x v="24"/>
    <x v="494"/>
    <s v="63010-010"/>
    <x v="29"/>
    <x v="18"/>
    <s v="7332983136"/>
    <s v="576632032662"/>
    <s v="Clarice Ortega Franco"/>
    <s v="Cicero Noval Diniz"/>
    <s v="Parda"/>
    <x v="18"/>
    <x v="3"/>
    <s v="Não"/>
    <n v="0"/>
  </r>
  <r>
    <n v="497"/>
    <s v="Ariadina Furquim Araujo"/>
    <d v="1993-02-12T00:00:00"/>
    <x v="32"/>
    <x v="495"/>
    <s v="70340-000"/>
    <x v="28"/>
    <x v="17"/>
    <s v="4453632807"/>
    <s v="423242822947"/>
    <s v="Dafne Castro Furquim"/>
    <s v="Caio Moura Araujo"/>
    <s v="Branca"/>
    <x v="18"/>
    <x v="3"/>
    <s v="Não"/>
    <n v="0"/>
  </r>
  <r>
    <n v="498"/>
    <s v="Ana Alves Molina"/>
    <d v="1979-01-02T00:00:00"/>
    <x v="12"/>
    <x v="496"/>
    <s v="42801-170"/>
    <x v="88"/>
    <x v="0"/>
    <s v="2356318772"/>
    <s v="731498975722"/>
    <s v="Vanessa Montenegro Alves"/>
    <s v="Fabio Henriques Molina"/>
    <s v="Branca"/>
    <x v="11"/>
    <x v="4"/>
    <s v="Sim"/>
    <n v="1"/>
  </r>
  <r>
    <n v="499"/>
    <s v="Beatriz Moraes Frota"/>
    <d v="1997-03-20T00:00:00"/>
    <x v="4"/>
    <x v="497"/>
    <s v="79002-074"/>
    <x v="58"/>
    <x v="3"/>
    <s v="7137997305"/>
    <s v="857656865417"/>
    <s v="Eva Laranjeira Moraes"/>
    <s v="Emilio Palma Frota"/>
    <s v="Parda"/>
    <x v="2"/>
    <x v="3"/>
    <s v="Não"/>
    <n v="0"/>
  </r>
  <r>
    <n v="500"/>
    <s v="Amália Novaes Melo"/>
    <d v="1965-04-11T00:00:00"/>
    <x v="30"/>
    <x v="498"/>
    <s v="69980-000"/>
    <x v="53"/>
    <x v="13"/>
    <s v="4720704805"/>
    <s v="908209577724"/>
    <s v="Ceres Igrejas Novaes"/>
    <s v="Cesar Souza Melo"/>
    <s v="Parda"/>
    <x v="8"/>
    <x v="2"/>
    <s v="Sim"/>
    <n v="4"/>
  </r>
  <r>
    <n v="501"/>
    <s v="Fabricio Lago Gama"/>
    <d v="2002-04-27T00:00:00"/>
    <x v="40"/>
    <x v="499"/>
    <s v="58700-010"/>
    <x v="31"/>
    <x v="20"/>
    <s v="4492569843"/>
    <s v="592653444038"/>
    <s v="Beatriz Mello Lago"/>
    <s v="Casemiro Barros Gama"/>
    <s v="Parda"/>
    <x v="12"/>
    <x v="1"/>
    <s v="Sim"/>
    <n v="1"/>
  </r>
  <r>
    <n v="502"/>
    <s v="Cássia Ferreira Alves"/>
    <d v="2008-02-13T00:00:00"/>
    <x v="13"/>
    <x v="500"/>
    <s v="69100-043"/>
    <x v="20"/>
    <x v="10"/>
    <s v="9925693236"/>
    <s v="405747238355"/>
    <s v="Renata Filgueiras Ferreira"/>
    <s v="Igor Andrade Alves"/>
    <s v="Parda"/>
    <x v="10"/>
    <x v="4"/>
    <s v="Sim"/>
    <n v="1"/>
  </r>
  <r>
    <n v="503"/>
    <s v="Edilson Soares Mesquita"/>
    <d v="1996-06-26T00:00:00"/>
    <x v="2"/>
    <x v="501"/>
    <s v="36013-000"/>
    <x v="94"/>
    <x v="23"/>
    <s v="0521782003"/>
    <s v="989816316449"/>
    <s v="Almerinda Leal Soares"/>
    <s v="Jacinto Neto Mesquita"/>
    <s v="Branca"/>
    <x v="18"/>
    <x v="1"/>
    <s v="Sim"/>
    <n v="3"/>
  </r>
  <r>
    <n v="504"/>
    <s v="Ivandro Casagrande Paiva"/>
    <d v="1995-05-25T00:00:00"/>
    <x v="43"/>
    <x v="502"/>
    <s v="94030-001"/>
    <x v="84"/>
    <x v="7"/>
    <s v="9821836587"/>
    <s v="110979683853"/>
    <s v="Ana Giacomini Casagrande"/>
    <s v="Jacinto Freitas Paiva"/>
    <s v="Preta"/>
    <x v="13"/>
    <x v="0"/>
    <s v="Sim"/>
    <n v="1"/>
  </r>
  <r>
    <n v="505"/>
    <s v="Elton Castro Rocha"/>
    <d v="1984-07-25T00:00:00"/>
    <x v="23"/>
    <x v="503"/>
    <s v="69375-000"/>
    <x v="10"/>
    <x v="8"/>
    <s v="3646957775"/>
    <s v="048056580516"/>
    <s v="Cristina Campos Castro"/>
    <s v="Alfredo Domingues Rocha"/>
    <s v="Branca"/>
    <x v="9"/>
    <x v="4"/>
    <s v="Sim"/>
    <n v="1"/>
  </r>
  <r>
    <n v="506"/>
    <s v="Jeane Miranda Montenegro"/>
    <d v="1973-08-20T00:00:00"/>
    <x v="39"/>
    <x v="504"/>
    <s v="79800-001"/>
    <x v="4"/>
    <x v="3"/>
    <s v="4471220588"/>
    <s v="263377327196"/>
    <s v="Briana Gusmao Miranda"/>
    <s v="Jayme Muniz Montenegro"/>
    <s v="Parda"/>
    <x v="3"/>
    <x v="3"/>
    <s v="Não"/>
    <n v="0"/>
  </r>
  <r>
    <n v="507"/>
    <s v="Candido Gama Palma"/>
    <d v="1975-09-03T00:00:00"/>
    <x v="15"/>
    <x v="505"/>
    <s v="77501-020"/>
    <x v="71"/>
    <x v="21"/>
    <s v="1123072109"/>
    <s v="751896133024"/>
    <s v="Carminha Xavier Gama"/>
    <s v="Iomar Cintra Palma"/>
    <s v="Branca"/>
    <x v="19"/>
    <x v="2"/>
    <s v="Não"/>
    <n v="0"/>
  </r>
  <r>
    <n v="508"/>
    <s v="Breno Malta Camacho"/>
    <d v="2003-05-26T00:00:00"/>
    <x v="20"/>
    <x v="506"/>
    <s v="22021-001"/>
    <x v="87"/>
    <x v="22"/>
    <s v="8308634427"/>
    <s v="679513663890"/>
    <s v="Frederica Lagos Malta"/>
    <s v="Israel Frota Camacho"/>
    <s v="Parda"/>
    <x v="5"/>
    <x v="0"/>
    <s v="Sim"/>
    <n v="1"/>
  </r>
  <r>
    <n v="509"/>
    <s v="Cristiane Maldonado Nobre"/>
    <d v="1977-11-08T00:00:00"/>
    <x v="5"/>
    <x v="507"/>
    <s v="64204-035"/>
    <x v="41"/>
    <x v="5"/>
    <s v="8263515960"/>
    <s v="920681649129"/>
    <s v="Angela Melo Maldonado"/>
    <s v="Jeronimo Assuncao Nobre"/>
    <s v="Branca"/>
    <x v="15"/>
    <x v="2"/>
    <s v="Sim"/>
    <n v="1"/>
  </r>
  <r>
    <n v="510"/>
    <s v="Angelica Frota Carneiro"/>
    <d v="1965-03-01T00:00:00"/>
    <x v="30"/>
    <x v="508"/>
    <s v="69301-000"/>
    <x v="54"/>
    <x v="8"/>
    <s v="1712466238"/>
    <s v="885174828777"/>
    <s v="Cibele Lucena Frota"/>
    <s v="Iomar Figueiredo Carneiro"/>
    <s v="Preta"/>
    <x v="0"/>
    <x v="3"/>
    <s v="Não"/>
    <n v="0"/>
  </r>
  <r>
    <n v="511"/>
    <s v="Cícera Garcez Morais"/>
    <d v="1974-06-24T00:00:00"/>
    <x v="0"/>
    <x v="509"/>
    <s v="61900-000"/>
    <x v="57"/>
    <x v="18"/>
    <s v="6707755130"/>
    <s v="859128789652"/>
    <s v="Angela Padilha Garcez"/>
    <s v="Gilson Mendes Morais"/>
    <s v="Branca"/>
    <x v="12"/>
    <x v="4"/>
    <s v="Não"/>
    <n v="0"/>
  </r>
  <r>
    <n v="512"/>
    <s v="Eliseu Neto Naves"/>
    <d v="2008-09-14T00:00:00"/>
    <x v="13"/>
    <x v="510"/>
    <s v="25010-001"/>
    <x v="52"/>
    <x v="22"/>
    <s v="2226515708"/>
    <s v="914019448861"/>
    <s v="Cordélia Novaes Neto"/>
    <s v="Hermes Xavier Naves"/>
    <s v="Parda"/>
    <x v="17"/>
    <x v="0"/>
    <s v="Não"/>
    <n v="0"/>
  </r>
  <r>
    <n v="513"/>
    <s v="Ione Novaes Braga"/>
    <d v="1966-08-18T00:00:00"/>
    <x v="28"/>
    <x v="511"/>
    <s v="79002-074"/>
    <x v="58"/>
    <x v="3"/>
    <s v="5531280988"/>
    <s v="000463895316"/>
    <s v="Patrícia Ortiz Novaes"/>
    <s v="Amauri Pereira Braga"/>
    <s v="Branca"/>
    <x v="9"/>
    <x v="3"/>
    <s v="Não"/>
    <n v="0"/>
  </r>
  <r>
    <n v="514"/>
    <s v="Emerson Neto Barros"/>
    <d v="1972-12-28T00:00:00"/>
    <x v="21"/>
    <x v="512"/>
    <s v="69100-043"/>
    <x v="20"/>
    <x v="10"/>
    <s v="4625701362"/>
    <s v="451896353097"/>
    <s v="Aurora Guerra Neto"/>
    <s v="Benicio Filgueiras Barros"/>
    <s v="Parda"/>
    <x v="4"/>
    <x v="4"/>
    <s v="Não"/>
    <n v="0"/>
  </r>
  <r>
    <n v="515"/>
    <s v="Ineu Oliveira Garrido"/>
    <d v="2007-07-11T00:00:00"/>
    <x v="18"/>
    <x v="513"/>
    <s v="76804-015"/>
    <x v="107"/>
    <x v="26"/>
    <s v="1771114947"/>
    <s v="997157207446"/>
    <s v="Maria Gusmao Oliveira"/>
    <s v="Anderson Cardoso Garrido"/>
    <s v="Branca"/>
    <x v="3"/>
    <x v="0"/>
    <s v="Não"/>
    <n v="0"/>
  </r>
  <r>
    <n v="516"/>
    <s v="Cleusa Camargo Filgueiras"/>
    <d v="1984-03-01T00:00:00"/>
    <x v="23"/>
    <x v="514"/>
    <s v="18048-110"/>
    <x v="101"/>
    <x v="12"/>
    <s v="2316913562"/>
    <s v="467740423389"/>
    <s v="Augusta Paranhos Camargo"/>
    <s v="Carlos Aguiar Filgueiras"/>
    <s v="Branca"/>
    <x v="7"/>
    <x v="4"/>
    <s v="Sim"/>
    <n v="1"/>
  </r>
  <r>
    <n v="517"/>
    <s v="Beto Lima Cabral"/>
    <d v="1984-12-20T00:00:00"/>
    <x v="23"/>
    <x v="515"/>
    <s v="56302-000"/>
    <x v="21"/>
    <x v="14"/>
    <s v="4843200326"/>
    <s v="081347978408"/>
    <s v="Carolina Igrejas Lima"/>
    <s v="Ildo Molina Cabral"/>
    <s v="Parda"/>
    <x v="4"/>
    <x v="1"/>
    <s v="Não"/>
    <n v="0"/>
  </r>
  <r>
    <n v="518"/>
    <s v="Janice Bueno Gonzaga"/>
    <d v="1962-08-26T00:00:00"/>
    <x v="25"/>
    <x v="516"/>
    <s v="12245-010"/>
    <x v="45"/>
    <x v="12"/>
    <s v="8035547502"/>
    <s v="565483383741"/>
    <s v="Barbara Lourenco Bueno"/>
    <s v="Dante Nascimento Gonzaga"/>
    <s v="Preta"/>
    <x v="16"/>
    <x v="3"/>
    <s v="Sim"/>
    <n v="3"/>
  </r>
  <r>
    <n v="519"/>
    <s v="Aparecida Costa Cavalcante"/>
    <d v="1976-07-15T00:00:00"/>
    <x v="31"/>
    <x v="517"/>
    <s v="87013-000"/>
    <x v="13"/>
    <x v="11"/>
    <s v="3037828503"/>
    <s v="829637699903"/>
    <s v="Amara Rocha Costa"/>
    <s v="Edilson Lagos Cavalcante"/>
    <s v="Indígena"/>
    <x v="15"/>
    <x v="0"/>
    <s v="Sim"/>
    <n v="1"/>
  </r>
  <r>
    <n v="520"/>
    <s v="Samuel Malta Gonzaga"/>
    <d v="1973-03-12T00:00:00"/>
    <x v="39"/>
    <x v="518"/>
    <s v="45654-000"/>
    <x v="22"/>
    <x v="0"/>
    <s v="5339998281"/>
    <s v="604062477215"/>
    <s v="Daniele Padilha Malta"/>
    <s v="Casemiro Macedo Gonzaga"/>
    <s v="Parda"/>
    <x v="17"/>
    <x v="2"/>
    <s v="Não"/>
    <n v="0"/>
  </r>
  <r>
    <n v="521"/>
    <s v="Flavio Caceres Barros"/>
    <d v="1975-06-01T00:00:00"/>
    <x v="15"/>
    <x v="519"/>
    <s v="78117-000"/>
    <x v="85"/>
    <x v="4"/>
    <s v="5801740129"/>
    <s v="566638228803"/>
    <s v="Jaqueline Lemos Caceres"/>
    <s v="Chico Almeida Barros"/>
    <s v="Parda"/>
    <x v="8"/>
    <x v="1"/>
    <s v="Não"/>
    <n v="0"/>
  </r>
  <r>
    <n v="522"/>
    <s v="Bernadete Barros Bello"/>
    <d v="1971-05-21T00:00:00"/>
    <x v="34"/>
    <x v="520"/>
    <s v="62010-290"/>
    <x v="49"/>
    <x v="18"/>
    <s v="0369088063"/>
    <s v="191201332740"/>
    <s v="Sandra Santos Barros"/>
    <s v="Alencar Brito Bello"/>
    <s v="Branca"/>
    <x v="2"/>
    <x v="2"/>
    <s v="Sim"/>
    <n v="1"/>
  </r>
  <r>
    <n v="523"/>
    <s v="Edvaldo Lago Mello"/>
    <d v="2005-05-19T00:00:00"/>
    <x v="11"/>
    <x v="521"/>
    <s v="76900-010"/>
    <x v="81"/>
    <x v="26"/>
    <s v="4537087255"/>
    <s v="414340467758"/>
    <s v="Carina Fonseca Lago"/>
    <s v="Alvaro Passos Mello"/>
    <s v="Parda"/>
    <x v="2"/>
    <x v="2"/>
    <s v="Não"/>
    <n v="0"/>
  </r>
  <r>
    <n v="524"/>
    <s v="Isaura Carrasco Novaes"/>
    <d v="1991-09-14T00:00:00"/>
    <x v="22"/>
    <x v="522"/>
    <s v="13208-056"/>
    <x v="95"/>
    <x v="12"/>
    <s v="0584677847"/>
    <s v="348378850037"/>
    <s v="Francine Neto Carrasco"/>
    <s v="Jamil Noronha Novaes"/>
    <s v="Indígena"/>
    <x v="1"/>
    <x v="0"/>
    <s v="Sim"/>
    <n v="1"/>
  </r>
  <r>
    <n v="525"/>
    <s v="Anastacia Brito Moraes"/>
    <d v="1984-07-04T00:00:00"/>
    <x v="23"/>
    <x v="523"/>
    <s v="68920-000"/>
    <x v="2"/>
    <x v="2"/>
    <s v="7293345342"/>
    <s v="337259968096"/>
    <s v="Candida Borges Brito"/>
    <s v="Pedro Henriques Moraes"/>
    <s v="Parda"/>
    <x v="7"/>
    <x v="4"/>
    <s v="Não"/>
    <n v="0"/>
  </r>
  <r>
    <n v="526"/>
    <s v="Dora Leite Ortiz"/>
    <d v="2006-12-16T00:00:00"/>
    <x v="19"/>
    <x v="524"/>
    <s v="40060-001"/>
    <x v="0"/>
    <x v="0"/>
    <s v="5626510950"/>
    <s v="413761345914"/>
    <s v="Barbara Gonzaga Leite"/>
    <s v="Alejandro Aranha Ortiz"/>
    <s v="Parda"/>
    <x v="6"/>
    <x v="0"/>
    <s v="Não"/>
    <n v="0"/>
  </r>
  <r>
    <n v="527"/>
    <s v="Mariana Henriques Belmonte"/>
    <d v="1964-04-23T00:00:00"/>
    <x v="8"/>
    <x v="525"/>
    <s v="69900-001"/>
    <x v="16"/>
    <x v="13"/>
    <s v="4182612014"/>
    <s v="069765928752"/>
    <s v="Cilene Monteiro Henriques"/>
    <s v="Inacio Andrade Belmonte"/>
    <s v="Parda"/>
    <x v="18"/>
    <x v="3"/>
    <s v="Sim"/>
    <n v="1"/>
  </r>
  <r>
    <n v="528"/>
    <s v="Geovana Ribeiro Carneiro"/>
    <d v="2002-01-07T00:00:00"/>
    <x v="40"/>
    <x v="526"/>
    <s v="64800-000"/>
    <x v="6"/>
    <x v="5"/>
    <s v="4648418463"/>
    <s v="485641474024"/>
    <s v="Irene Meneses Ribeiro"/>
    <s v="Rodrigo Meireles Carneiro"/>
    <s v="Parda"/>
    <x v="1"/>
    <x v="1"/>
    <s v="Sim"/>
    <n v="3"/>
  </r>
  <r>
    <n v="529"/>
    <s v="Bernardo Madureira Bueno"/>
    <d v="1984-11-13T00:00:00"/>
    <x v="23"/>
    <x v="527"/>
    <s v="85810-001"/>
    <x v="66"/>
    <x v="11"/>
    <s v="5786033405"/>
    <s v="709609400595"/>
    <s v="Adriana Mesquita Madureira"/>
    <s v="Cassiano Passos Bueno"/>
    <s v="Branca"/>
    <x v="13"/>
    <x v="2"/>
    <s v="Sim"/>
    <n v="3"/>
  </r>
  <r>
    <n v="530"/>
    <s v="Alejandro Montenegro Madureira"/>
    <d v="2004-02-12T00:00:00"/>
    <x v="17"/>
    <x v="528"/>
    <s v="58400-220"/>
    <x v="76"/>
    <x v="20"/>
    <s v="3248395666"/>
    <s v="190064545001"/>
    <s v="Emily Oliveira Montenegro"/>
    <s v="Cassio Leite Madureira"/>
    <s v="Parda"/>
    <x v="13"/>
    <x v="4"/>
    <s v="Sim"/>
    <n v="3"/>
  </r>
  <r>
    <n v="531"/>
    <s v="Dagmar Medeiros Ortiz"/>
    <d v="2004-07-03T00:00:00"/>
    <x v="17"/>
    <x v="529"/>
    <s v="69301-000"/>
    <x v="54"/>
    <x v="8"/>
    <s v="7333334395"/>
    <s v="417398935114"/>
    <s v="Célia Gama Medeiros"/>
    <s v="Alberto Melo Ortiz"/>
    <s v="Branca"/>
    <x v="0"/>
    <x v="0"/>
    <s v="Não"/>
    <n v="0"/>
  </r>
  <r>
    <n v="532"/>
    <s v="Djalma Cintra Garcez"/>
    <d v="1986-06-25T00:00:00"/>
    <x v="45"/>
    <x v="530"/>
    <s v="55012-290"/>
    <x v="17"/>
    <x v="14"/>
    <s v="8012733941"/>
    <s v="021212921474"/>
    <s v="Iris Meneses Cintra"/>
    <s v="Djalma Baptista Garcez"/>
    <s v="Parda"/>
    <x v="3"/>
    <x v="1"/>
    <s v="Sim"/>
    <n v="1"/>
  </r>
  <r>
    <n v="533"/>
    <s v="Benito Marcondes Souza"/>
    <d v="1979-11-15T00:00:00"/>
    <x v="12"/>
    <x v="531"/>
    <s v="88101-001"/>
    <x v="62"/>
    <x v="19"/>
    <s v="0667921916"/>
    <s v="968421450834"/>
    <s v="Carmem Giacomini Marcondes"/>
    <s v="Jefferson Mangabeira Souza"/>
    <s v="Parda"/>
    <x v="9"/>
    <x v="1"/>
    <s v="Não"/>
    <n v="0"/>
  </r>
  <r>
    <n v="534"/>
    <s v="Fausto Rodrigues Carneiro"/>
    <d v="2002-12-13T00:00:00"/>
    <x v="40"/>
    <x v="532"/>
    <s v="40060-001"/>
    <x v="0"/>
    <x v="0"/>
    <s v="6520072802"/>
    <s v="477657170262"/>
    <s v="Amanda Alves Rodrigues"/>
    <s v="Bruno Cantanhede Carneiro"/>
    <s v="Branca"/>
    <x v="11"/>
    <x v="2"/>
    <s v="Sim"/>
    <n v="1"/>
  </r>
  <r>
    <n v="535"/>
    <s v="Diana Lago Machado"/>
    <d v="1961-03-26T00:00:00"/>
    <x v="1"/>
    <x v="533"/>
    <s v="85810-001"/>
    <x v="66"/>
    <x v="11"/>
    <s v="4309289938"/>
    <s v="520051424594"/>
    <s v="Carminha Ribeiro Lago"/>
    <s v="Demétrio Bello Machado"/>
    <s v="Branca"/>
    <x v="10"/>
    <x v="1"/>
    <s v="Sim"/>
    <n v="1"/>
  </r>
  <r>
    <n v="536"/>
    <s v="Fernando Lacerda Miranda"/>
    <d v="1962-01-28T00:00:00"/>
    <x v="25"/>
    <x v="534"/>
    <s v="78700-050"/>
    <x v="5"/>
    <x v="4"/>
    <s v="3269709796"/>
    <s v="628356644934"/>
    <s v="Iracema Cabral Lacerda"/>
    <s v="Elias Camargo Miranda"/>
    <s v="Parda"/>
    <x v="19"/>
    <x v="1"/>
    <s v="Sim"/>
    <n v="1"/>
  </r>
  <r>
    <n v="537"/>
    <s v="Diná Novaes Lins"/>
    <d v="1975-04-22T00:00:00"/>
    <x v="15"/>
    <x v="535"/>
    <s v="49160-000"/>
    <x v="69"/>
    <x v="25"/>
    <s v="6283658724"/>
    <s v="498266471158"/>
    <s v="Edna Camargo Novaes"/>
    <s v="Gelson Lourenco Lins"/>
    <s v="Parda"/>
    <x v="5"/>
    <x v="1"/>
    <s v="Não"/>
    <n v="0"/>
  </r>
  <r>
    <n v="538"/>
    <s v="Elias Rodrigues Mangabeira"/>
    <d v="2005-02-27T00:00:00"/>
    <x v="11"/>
    <x v="536"/>
    <s v="97015-510"/>
    <x v="82"/>
    <x v="7"/>
    <s v="4434969999"/>
    <s v="972799169468"/>
    <s v="Cordélia Nobre Rodrigues"/>
    <s v="Amaro Carvalho Mangabeira"/>
    <s v="Branca"/>
    <x v="19"/>
    <x v="1"/>
    <s v="Não"/>
    <n v="0"/>
  </r>
  <r>
    <n v="539"/>
    <s v="Ariadina Lemos Melo"/>
    <d v="2005-04-08T00:00:00"/>
    <x v="11"/>
    <x v="537"/>
    <s v="68005-080"/>
    <x v="67"/>
    <x v="15"/>
    <s v="8742443398"/>
    <s v="570363435976"/>
    <s v="Guilhermina Cavalcante Lemos"/>
    <s v="Leonardo Fraga Melo"/>
    <s v="Parda"/>
    <x v="18"/>
    <x v="2"/>
    <s v="Sim"/>
    <n v="3"/>
  </r>
  <r>
    <n v="540"/>
    <s v="Filomena Rodrigues Moura"/>
    <d v="1998-04-14T00:00:00"/>
    <x v="47"/>
    <x v="538"/>
    <s v="69100-043"/>
    <x v="20"/>
    <x v="10"/>
    <s v="9918285886"/>
    <s v="643203873407"/>
    <s v="Diana Mangabeira Rodrigues"/>
    <s v="Jesse Monteiro Moura"/>
    <s v="Branca"/>
    <x v="15"/>
    <x v="3"/>
    <s v="Não"/>
    <n v="0"/>
  </r>
  <r>
    <n v="541"/>
    <s v="Araci Furquim Casagrande"/>
    <d v="1969-11-01T00:00:00"/>
    <x v="41"/>
    <x v="539"/>
    <s v="32600-112"/>
    <x v="79"/>
    <x v="23"/>
    <s v="5926057355"/>
    <s v="330669531948"/>
    <s v="Emília Lourdes Furquim"/>
    <s v="Denis Laranjeira Casagrande"/>
    <s v="Branca"/>
    <x v="19"/>
    <x v="2"/>
    <s v="Sim"/>
    <n v="1"/>
  </r>
  <r>
    <n v="542"/>
    <s v="Cristiane Faustino Morais"/>
    <d v="2004-02-27T00:00:00"/>
    <x v="17"/>
    <x v="540"/>
    <s v="67013-000"/>
    <x v="23"/>
    <x v="15"/>
    <s v="6498605851"/>
    <s v="779893756819"/>
    <s v="Eleonora Moreira Faustino"/>
    <s v="Erasmo Teixeira Morais"/>
    <s v="Branca"/>
    <x v="11"/>
    <x v="4"/>
    <s v="Não"/>
    <n v="0"/>
  </r>
  <r>
    <n v="543"/>
    <s v="Samuel Oliveira Camacho"/>
    <d v="1995-11-01T00:00:00"/>
    <x v="43"/>
    <x v="541"/>
    <s v="89010-001"/>
    <x v="30"/>
    <x v="19"/>
    <s v="5815335668"/>
    <s v="498743918298"/>
    <s v="Evelyn Galvao Oliveira"/>
    <s v="Mateus Passos Camacho"/>
    <s v="Parda"/>
    <x v="6"/>
    <x v="2"/>
    <s v="Não"/>
    <n v="0"/>
  </r>
  <r>
    <n v="544"/>
    <s v="Isabelle Franco Pereira"/>
    <d v="1965-03-18T00:00:00"/>
    <x v="30"/>
    <x v="542"/>
    <s v="88101-001"/>
    <x v="62"/>
    <x v="19"/>
    <s v="6028859512"/>
    <s v="671322333831"/>
    <s v="Chantal Garrido Franco"/>
    <s v="Geremias Paiva Pereira"/>
    <s v="Indígena"/>
    <x v="14"/>
    <x v="2"/>
    <s v="Sim"/>
    <n v="1"/>
  </r>
  <r>
    <n v="545"/>
    <s v="Emily Matos Lucena"/>
    <d v="2007-06-19T00:00:00"/>
    <x v="18"/>
    <x v="543"/>
    <s v="69980-000"/>
    <x v="53"/>
    <x v="13"/>
    <s v="3020603729"/>
    <s v="350999637195"/>
    <s v="Aura Jordao Matos"/>
    <s v="Everton Mendes Lucena"/>
    <s v="Preta"/>
    <x v="12"/>
    <x v="4"/>
    <s v="Sim"/>
    <n v="3"/>
  </r>
  <r>
    <n v="546"/>
    <s v="Arlene Fraga Nogueira"/>
    <d v="1972-04-09T00:00:00"/>
    <x v="21"/>
    <x v="544"/>
    <s v="78008-000"/>
    <x v="19"/>
    <x v="4"/>
    <s v="6719113059"/>
    <s v="363183239398"/>
    <s v="Anamaria Marques Fraga"/>
    <s v="André Azevedo Nogueira"/>
    <s v="Branca"/>
    <x v="2"/>
    <x v="2"/>
    <s v="Não"/>
    <n v="0"/>
  </r>
  <r>
    <n v="547"/>
    <s v="Eleonora Garrido Braga"/>
    <d v="1968-08-18T00:00:00"/>
    <x v="14"/>
    <x v="545"/>
    <s v="59600-005"/>
    <x v="34"/>
    <x v="1"/>
    <s v="4789561025"/>
    <s v="111905029535"/>
    <s v="Diná Firmeza Garrido"/>
    <s v="Erick Diniz Braga"/>
    <s v="Branca"/>
    <x v="2"/>
    <x v="4"/>
    <s v="Não"/>
    <n v="0"/>
  </r>
  <r>
    <n v="548"/>
    <s v="Anselmo Naves Moita"/>
    <d v="2001-09-02T00:00:00"/>
    <x v="9"/>
    <x v="546"/>
    <s v="75020-010"/>
    <x v="15"/>
    <x v="6"/>
    <s v="8438801876"/>
    <s v="162621852233"/>
    <s v="Conceição Pamplona Naves"/>
    <s v="Jean Avila Moita"/>
    <s v="Parda"/>
    <x v="5"/>
    <x v="2"/>
    <s v="Não"/>
    <n v="0"/>
  </r>
  <r>
    <n v="549"/>
    <s v="Delia Moraes Bernardes"/>
    <d v="1978-05-04T00:00:00"/>
    <x v="3"/>
    <x v="547"/>
    <s v="36013-000"/>
    <x v="94"/>
    <x v="23"/>
    <s v="5279016685"/>
    <s v="638789773241"/>
    <s v="Júlia Fraga Moraes"/>
    <s v="Edvaldo Faustino Bernardes"/>
    <s v="Parda"/>
    <x v="19"/>
    <x v="4"/>
    <s v="Não"/>
    <n v="0"/>
  </r>
  <r>
    <n v="550"/>
    <s v="Herculano Feitosa Figueiredo"/>
    <d v="2007-07-01T00:00:00"/>
    <x v="18"/>
    <x v="548"/>
    <s v="68005-080"/>
    <x v="67"/>
    <x v="15"/>
    <s v="4947912138"/>
    <s v="468127709167"/>
    <s v="Debora Paixao Feitosa"/>
    <s v="Gian Caceres Figueiredo"/>
    <s v="Parda"/>
    <x v="11"/>
    <x v="2"/>
    <s v="Sim"/>
    <n v="1"/>
  </r>
  <r>
    <n v="551"/>
    <s v="Inacio Geraldo Ortega"/>
    <d v="2000-06-05T00:00:00"/>
    <x v="7"/>
    <x v="549"/>
    <s v="38400-112"/>
    <x v="98"/>
    <x v="23"/>
    <s v="5904589716"/>
    <s v="429520799155"/>
    <s v="Cíntia Firmeza Geraldo"/>
    <s v="Italo Gimenez Ortega"/>
    <s v="Preta"/>
    <x v="4"/>
    <x v="3"/>
    <s v="Sim"/>
    <n v="3"/>
  </r>
  <r>
    <n v="552"/>
    <s v="Elaine Matos Cardoso"/>
    <d v="1990-09-09T00:00:00"/>
    <x v="42"/>
    <x v="550"/>
    <s v="68925-001"/>
    <x v="63"/>
    <x v="2"/>
    <s v="9770393902"/>
    <s v="750078365512"/>
    <s v="Gabriela Cunha Matos"/>
    <s v="Derick Carrasco Cardoso"/>
    <s v="Parda"/>
    <x v="8"/>
    <x v="1"/>
    <s v="Não"/>
    <n v="0"/>
  </r>
  <r>
    <n v="553"/>
    <s v="Cilene Ortega Naves"/>
    <d v="1993-03-27T00:00:00"/>
    <x v="32"/>
    <x v="551"/>
    <s v="77402-010"/>
    <x v="37"/>
    <x v="21"/>
    <s v="9205035269"/>
    <s v="826425154634"/>
    <s v="Carolina Magalhaes Ortega"/>
    <s v="Cristiano Santos Naves"/>
    <s v="Parda"/>
    <x v="4"/>
    <x v="0"/>
    <s v="Não"/>
    <n v="0"/>
  </r>
  <r>
    <n v="554"/>
    <s v="Damaris Lousada Faria"/>
    <d v="1977-11-15T00:00:00"/>
    <x v="5"/>
    <x v="552"/>
    <s v="36013-000"/>
    <x v="94"/>
    <x v="23"/>
    <s v="8220279904"/>
    <s v="769937673806"/>
    <s v="Briana Dantas Lousada"/>
    <s v="Claudio Carvalho Faria"/>
    <s v="Parda"/>
    <x v="16"/>
    <x v="1"/>
    <s v="Sim"/>
    <n v="1"/>
  </r>
  <r>
    <n v="555"/>
    <s v="Ricardo Moura Gusmao"/>
    <d v="1983-09-05T00:00:00"/>
    <x v="46"/>
    <x v="553"/>
    <s v="85851-000"/>
    <x v="77"/>
    <x v="11"/>
    <s v="3657527138"/>
    <s v="126055133093"/>
    <s v="Ariane Fagundes Moura"/>
    <s v="Amaro Castello Gusmao"/>
    <s v="Parda"/>
    <x v="7"/>
    <x v="3"/>
    <s v="Não"/>
    <n v="0"/>
  </r>
  <r>
    <n v="556"/>
    <s v="Ariadina Bittencourt Dias"/>
    <d v="1974-10-23T00:00:00"/>
    <x v="0"/>
    <x v="554"/>
    <s v="69375-000"/>
    <x v="10"/>
    <x v="8"/>
    <s v="5646228950"/>
    <s v="356534107045"/>
    <s v="Amara Costa Bittencourt"/>
    <s v="Biel Borges Dias"/>
    <s v="Preta"/>
    <x v="9"/>
    <x v="1"/>
    <s v="Sim"/>
    <n v="3"/>
  </r>
  <r>
    <n v="557"/>
    <s v="Brigite Lourenco Ferreira"/>
    <d v="1991-08-06T00:00:00"/>
    <x v="22"/>
    <x v="555"/>
    <s v="36013-000"/>
    <x v="94"/>
    <x v="23"/>
    <s v="9623923500"/>
    <s v="973771093431"/>
    <s v="Aline Fraga Lourenco"/>
    <s v="Demétrio Figueiredo Ferreira"/>
    <s v="Branca"/>
    <x v="1"/>
    <x v="1"/>
    <s v="Não"/>
    <n v="0"/>
  </r>
  <r>
    <n v="558"/>
    <s v="Larissa Assuncao Horta"/>
    <d v="1968-02-17T00:00:00"/>
    <x v="14"/>
    <x v="556"/>
    <s v="72800-000"/>
    <x v="40"/>
    <x v="6"/>
    <s v="6198960134"/>
    <s v="562305326990"/>
    <s v="Aline Xavier Assuncao"/>
    <s v="Dalmo Leite Horta"/>
    <s v="Parda"/>
    <x v="17"/>
    <x v="3"/>
    <s v="Não"/>
    <n v="0"/>
  </r>
  <r>
    <n v="559"/>
    <s v="Eliseu Casagrande Oliveira"/>
    <d v="1988-04-04T00:00:00"/>
    <x v="37"/>
    <x v="557"/>
    <s v="27260-120"/>
    <x v="64"/>
    <x v="22"/>
    <s v="7775988654"/>
    <s v="293207795637"/>
    <s v="Camila Pinto Casagrande"/>
    <s v="Domingos Costa Oliveira"/>
    <s v="Parda"/>
    <x v="17"/>
    <x v="4"/>
    <s v="Não"/>
    <n v="0"/>
  </r>
  <r>
    <n v="560"/>
    <s v="Gabriel Camargo Delgado"/>
    <d v="2007-01-24T00:00:00"/>
    <x v="18"/>
    <x v="558"/>
    <s v="95010-000"/>
    <x v="99"/>
    <x v="7"/>
    <s v="7430113531"/>
    <s v="962944310080"/>
    <s v="Carla Campos Camargo"/>
    <s v="Cesar Moraes Delgado"/>
    <s v="Branca"/>
    <x v="3"/>
    <x v="2"/>
    <s v="Não"/>
    <n v="0"/>
  </r>
  <r>
    <n v="561"/>
    <s v="Italo Espinosa Cintra"/>
    <d v="1972-08-07T00:00:00"/>
    <x v="21"/>
    <x v="559"/>
    <s v="85810-001"/>
    <x v="66"/>
    <x v="11"/>
    <s v="9376634748"/>
    <s v="393575748424"/>
    <s v="Aurora Vieira Espinosa"/>
    <s v="Gabriel Mangabeira Cintra"/>
    <s v="Branca"/>
    <x v="9"/>
    <x v="2"/>
    <s v="Não"/>
    <n v="0"/>
  </r>
  <r>
    <n v="562"/>
    <s v="Gustavo Belmonte Batista"/>
    <d v="1994-11-17T00:00:00"/>
    <x v="24"/>
    <x v="560"/>
    <s v="56302-000"/>
    <x v="21"/>
    <x v="14"/>
    <s v="7772793115"/>
    <s v="919311379663"/>
    <s v="Amélia Freire Belmonte"/>
    <s v="Gilson Melo Batista"/>
    <s v="Amarela"/>
    <x v="15"/>
    <x v="2"/>
    <s v="Sim"/>
    <n v="1"/>
  </r>
  <r>
    <n v="563"/>
    <s v="Fabiola Frota Bernardes"/>
    <d v="1977-10-07T00:00:00"/>
    <x v="5"/>
    <x v="561"/>
    <s v="59300-000"/>
    <x v="72"/>
    <x v="1"/>
    <s v="5223094073"/>
    <s v="205345462431"/>
    <s v="Alexia Gimenez Frota"/>
    <s v="Antonio Coimbra Bernardes"/>
    <s v="Parda"/>
    <x v="2"/>
    <x v="0"/>
    <s v="Sim"/>
    <n v="9"/>
  </r>
  <r>
    <n v="564"/>
    <s v="Alfredo Evangelista Costa"/>
    <d v="2008-05-27T00:00:00"/>
    <x v="13"/>
    <x v="562"/>
    <s v="18048-110"/>
    <x v="101"/>
    <x v="12"/>
    <s v="2836225969"/>
    <s v="793652013746"/>
    <s v="Larissa Melo Evangelista"/>
    <s v="Elias Coelho Costa"/>
    <s v="Indígena"/>
    <x v="19"/>
    <x v="1"/>
    <s v="Sim"/>
    <n v="1"/>
  </r>
  <r>
    <n v="565"/>
    <s v="João Meneses Aguiar"/>
    <d v="1982-03-10T00:00:00"/>
    <x v="44"/>
    <x v="563"/>
    <s v="75901-001"/>
    <x v="8"/>
    <x v="6"/>
    <s v="8009740723"/>
    <s v="287293170182"/>
    <s v="Alicia Moita Meneses"/>
    <s v="João Xavier Aguiar"/>
    <s v="Parda"/>
    <x v="19"/>
    <x v="2"/>
    <s v="Sim"/>
    <n v="1"/>
  </r>
  <r>
    <n v="566"/>
    <s v="Fausta Paschoal Lagos"/>
    <d v="1999-04-14T00:00:00"/>
    <x v="10"/>
    <x v="564"/>
    <s v="79002-074"/>
    <x v="58"/>
    <x v="3"/>
    <s v="9028326416"/>
    <s v="562849590346"/>
    <s v="Ester Andrade Paschoal"/>
    <s v="Cassiano Machado Lagos"/>
    <s v="Parda"/>
    <x v="0"/>
    <x v="3"/>
    <s v="Não"/>
    <n v="0"/>
  </r>
  <r>
    <n v="567"/>
    <s v="Dora Alves Meneses"/>
    <d v="1961-02-09T00:00:00"/>
    <x v="1"/>
    <x v="565"/>
    <s v="29146-300"/>
    <x v="80"/>
    <x v="24"/>
    <s v="9477487182"/>
    <s v="597134087625"/>
    <s v="Camila Monteiro Alves"/>
    <s v="Israel Cunha Meneses"/>
    <s v="Preta"/>
    <x v="11"/>
    <x v="2"/>
    <s v="Sim"/>
    <n v="1"/>
  </r>
  <r>
    <n v="568"/>
    <s v="Conceição Lozano Nobrega"/>
    <d v="1985-10-11T00:00:00"/>
    <x v="26"/>
    <x v="566"/>
    <s v="75901-001"/>
    <x v="8"/>
    <x v="6"/>
    <s v="0071305320"/>
    <s v="223532687295"/>
    <s v="Renata Almeida Lozano"/>
    <s v="Israel Morais Nobrega"/>
    <s v="Branca"/>
    <x v="8"/>
    <x v="4"/>
    <s v="Não"/>
    <n v="0"/>
  </r>
  <r>
    <n v="569"/>
    <s v="Renata Monteiro Batista"/>
    <d v="1982-12-16T00:00:00"/>
    <x v="44"/>
    <x v="567"/>
    <s v="56302-000"/>
    <x v="21"/>
    <x v="14"/>
    <s v="6535427232"/>
    <s v="813907710192"/>
    <s v="Almerinda Frota Monteiro"/>
    <s v="Arthur Nobrega Batista"/>
    <s v="Parda"/>
    <x v="16"/>
    <x v="4"/>
    <s v="Não"/>
    <n v="0"/>
  </r>
  <r>
    <n v="570"/>
    <s v="Dirce Miranda Carrasco"/>
    <d v="1971-09-13T00:00:00"/>
    <x v="34"/>
    <x v="568"/>
    <s v="49160-000"/>
    <x v="69"/>
    <x v="25"/>
    <s v="0372941002"/>
    <s v="778171472034"/>
    <s v="Eleonora Passos Miranda"/>
    <s v="Felix Leal Carrasco"/>
    <s v="Amarela"/>
    <x v="17"/>
    <x v="0"/>
    <s v="Sim"/>
    <n v="1"/>
  </r>
  <r>
    <n v="571"/>
    <s v="Fabiana Gentil Assis"/>
    <d v="1961-11-03T00:00:00"/>
    <x v="1"/>
    <x v="569"/>
    <s v="62010-290"/>
    <x v="49"/>
    <x v="18"/>
    <s v="0215281290"/>
    <s v="749275818320"/>
    <s v="Cleonice Costa Gentil"/>
    <s v="Gilberto Caldas Assis"/>
    <s v="Branca"/>
    <x v="0"/>
    <x v="1"/>
    <s v="Não"/>
    <n v="0"/>
  </r>
  <r>
    <n v="572"/>
    <s v="Inacio Marcondes Naves"/>
    <d v="2002-03-14T00:00:00"/>
    <x v="40"/>
    <x v="570"/>
    <s v="64800-000"/>
    <x v="6"/>
    <x v="5"/>
    <s v="0289223629"/>
    <s v="154301314392"/>
    <s v="Eneida Ortega Marcondes"/>
    <s v="Fred Godoy Naves"/>
    <s v="Parda"/>
    <x v="11"/>
    <x v="3"/>
    <s v="Sim"/>
    <n v="1"/>
  </r>
  <r>
    <n v="573"/>
    <s v="Graça Muniz Galvao"/>
    <d v="1983-03-10T00:00:00"/>
    <x v="46"/>
    <x v="571"/>
    <s v="76873-002"/>
    <x v="75"/>
    <x v="26"/>
    <s v="6242676518"/>
    <s v="651094432766"/>
    <s v="Cecília Assis Muniz"/>
    <s v="Heitor Marcondes Galvao"/>
    <s v="Parda"/>
    <x v="12"/>
    <x v="2"/>
    <s v="Não"/>
    <n v="0"/>
  </r>
  <r>
    <n v="574"/>
    <s v="Flavio Rodrigues Inacio"/>
    <d v="1962-08-22T00:00:00"/>
    <x v="25"/>
    <x v="572"/>
    <s v="95010-000"/>
    <x v="99"/>
    <x v="7"/>
    <s v="3487654298"/>
    <s v="009777410566"/>
    <s v="Eliana Paschoal Rodrigues"/>
    <s v="Felix Junqueira Inacio"/>
    <s v="Branca"/>
    <x v="6"/>
    <x v="1"/>
    <s v="Sim"/>
    <n v="2"/>
  </r>
  <r>
    <n v="575"/>
    <s v="Ester Casagrande Espinosa"/>
    <d v="1971-12-10T00:00:00"/>
    <x v="34"/>
    <x v="573"/>
    <s v="88101-001"/>
    <x v="62"/>
    <x v="19"/>
    <s v="2895013180"/>
    <s v="280586424934"/>
    <s v="Edna Fernandes Casagrande"/>
    <s v="Hermes Lourdes Espinosa"/>
    <s v="Parda"/>
    <x v="19"/>
    <x v="1"/>
    <s v="Não"/>
    <n v="0"/>
  </r>
  <r>
    <n v="576"/>
    <s v="Ingrid Junqueira Alves"/>
    <d v="2005-05-18T00:00:00"/>
    <x v="11"/>
    <x v="574"/>
    <s v="76804-015"/>
    <x v="107"/>
    <x v="26"/>
    <s v="4833374620"/>
    <s v="004346484299"/>
    <s v="Eva Fraga Junqueira"/>
    <s v="Marcos Marinho Alves"/>
    <s v="Parda"/>
    <x v="5"/>
    <x v="1"/>
    <s v="Sim"/>
    <n v="6"/>
  </r>
  <r>
    <n v="577"/>
    <s v="Bianca Fraga Lopes"/>
    <d v="1979-09-07T00:00:00"/>
    <x v="12"/>
    <x v="575"/>
    <s v="57050-000"/>
    <x v="70"/>
    <x v="9"/>
    <s v="3217037561"/>
    <s v="321437939095"/>
    <s v="Glaucia Girao Fraga"/>
    <s v="Bruce Delgado Lopes"/>
    <s v="Parda"/>
    <x v="3"/>
    <x v="3"/>
    <s v="Sim"/>
    <n v="3"/>
  </r>
  <r>
    <n v="578"/>
    <s v="Jandir Horta Passos"/>
    <d v="1976-04-24T00:00:00"/>
    <x v="31"/>
    <x v="576"/>
    <s v="36013-000"/>
    <x v="94"/>
    <x v="23"/>
    <s v="2296597381"/>
    <s v="518773955292"/>
    <s v="Arlene Negrao Horta"/>
    <s v="Gabriel Rodrigues Passos"/>
    <s v="Branca"/>
    <x v="10"/>
    <x v="4"/>
    <s v="Não"/>
    <n v="0"/>
  </r>
  <r>
    <n v="579"/>
    <s v="Alicia Moraes Luz"/>
    <d v="1986-08-14T00:00:00"/>
    <x v="45"/>
    <x v="577"/>
    <s v="32600-112"/>
    <x v="79"/>
    <x v="23"/>
    <s v="1233109110"/>
    <s v="038941014776"/>
    <s v="Briana Jesus Moraes"/>
    <s v="Thiago Meireles Luz"/>
    <s v="Branca"/>
    <x v="8"/>
    <x v="3"/>
    <s v="Sim"/>
    <n v="1"/>
  </r>
  <r>
    <n v="580"/>
    <s v="Dalmo Cardoso Domingues"/>
    <d v="1969-06-08T00:00:00"/>
    <x v="41"/>
    <x v="578"/>
    <s v="60150-160"/>
    <x v="106"/>
    <x v="18"/>
    <s v="4227929132"/>
    <s v="712287711926"/>
    <s v="Analu Gaspar Cardoso"/>
    <s v="Jairo Lemos Domingues"/>
    <s v="Parda"/>
    <x v="1"/>
    <x v="3"/>
    <s v="Sim"/>
    <n v="1"/>
  </r>
  <r>
    <n v="581"/>
    <s v="Douglas Noval Vieira"/>
    <d v="1985-06-21T00:00:00"/>
    <x v="26"/>
    <x v="579"/>
    <s v="69301-000"/>
    <x v="54"/>
    <x v="8"/>
    <s v="7330055898"/>
    <s v="996116762729"/>
    <s v="Guilhermina Filgueiras Noval"/>
    <s v="Eduardo Guerra Vieira"/>
    <s v="Parda"/>
    <x v="2"/>
    <x v="2"/>
    <s v="Sim"/>
    <n v="3"/>
  </r>
  <r>
    <n v="582"/>
    <s v="Inês Mendonca Figueiredo"/>
    <d v="2005-12-01T00:00:00"/>
    <x v="11"/>
    <x v="580"/>
    <s v="75901-001"/>
    <x v="8"/>
    <x v="6"/>
    <s v="6823717576"/>
    <s v="400887297256"/>
    <s v="Glauce Inacio Mendonca"/>
    <s v="Lucas Mata Figueiredo"/>
    <s v="Branca"/>
    <x v="2"/>
    <x v="4"/>
    <s v="Sim"/>
    <n v="2"/>
  </r>
  <r>
    <n v="583"/>
    <s v="Galdino Pinto Mendes"/>
    <d v="1989-02-11T00:00:00"/>
    <x v="36"/>
    <x v="581"/>
    <s v="92200-630"/>
    <x v="9"/>
    <x v="7"/>
    <s v="0810739078"/>
    <s v="088468211452"/>
    <s v="Guiomar Aguiar Pinto"/>
    <s v="Fausto Garcez Mendes"/>
    <s v="Parda"/>
    <x v="8"/>
    <x v="4"/>
    <s v="Não"/>
    <n v="0"/>
  </r>
  <r>
    <n v="584"/>
    <s v="Bruna Freitas Marinho"/>
    <d v="1963-12-07T00:00:00"/>
    <x v="38"/>
    <x v="582"/>
    <s v="77501-020"/>
    <x v="71"/>
    <x v="21"/>
    <s v="8660783240"/>
    <s v="218064720854"/>
    <s v="Alice Nobrega Freitas"/>
    <s v="Clovis Aranha Marinho"/>
    <s v="Parda"/>
    <x v="15"/>
    <x v="4"/>
    <s v="Não"/>
    <n v="0"/>
  </r>
  <r>
    <n v="585"/>
    <s v="Dagoberto Nobrega Paschoal"/>
    <d v="2005-06-22T00:00:00"/>
    <x v="11"/>
    <x v="583"/>
    <s v="58400-220"/>
    <x v="76"/>
    <x v="20"/>
    <s v="5279202123"/>
    <s v="749727041861"/>
    <s v="Anelise Cardoso Nobrega"/>
    <s v="Edmilson Gonzaga Paschoal"/>
    <s v="Parda"/>
    <x v="6"/>
    <x v="4"/>
    <s v="Não"/>
    <n v="0"/>
  </r>
  <r>
    <n v="586"/>
    <s v="Geraldo Cintra Andrade"/>
    <d v="1974-03-06T00:00:00"/>
    <x v="0"/>
    <x v="584"/>
    <s v="50711-000"/>
    <x v="36"/>
    <x v="14"/>
    <s v="2997676907"/>
    <s v="188867883298"/>
    <s v="Débora Jordao Cintra"/>
    <s v="Ildo Marcondes Andrade"/>
    <s v="Parda"/>
    <x v="12"/>
    <x v="4"/>
    <s v="Sim"/>
    <n v="1"/>
  </r>
  <r>
    <n v="587"/>
    <s v="Dafne Caldeira Braga"/>
    <d v="1965-08-13T00:00:00"/>
    <x v="30"/>
    <x v="585"/>
    <s v="29100-010"/>
    <x v="92"/>
    <x v="24"/>
    <s v="5068908050"/>
    <s v="880915421703"/>
    <s v="Íris Melo Caldeira"/>
    <s v="Thiago Campos Braga"/>
    <s v="Parda"/>
    <x v="7"/>
    <x v="1"/>
    <s v="Sim"/>
    <n v="1"/>
  </r>
  <r>
    <n v="588"/>
    <s v="Eduardo Guimaraes Paes"/>
    <d v="1973-01-24T00:00:00"/>
    <x v="39"/>
    <x v="586"/>
    <s v="45023-490"/>
    <x v="3"/>
    <x v="0"/>
    <s v="4746647473"/>
    <s v="683172282036"/>
    <s v="Catarina Paiva Guimaraes"/>
    <s v="Hermes Moura Paes"/>
    <s v="Parda"/>
    <x v="9"/>
    <x v="3"/>
    <s v="Sim"/>
    <n v="2"/>
  </r>
  <r>
    <n v="589"/>
    <s v="Brunella Lemos Monforte"/>
    <d v="1997-04-19T00:00:00"/>
    <x v="4"/>
    <x v="587"/>
    <s v="38400-112"/>
    <x v="98"/>
    <x v="23"/>
    <s v="3390717930"/>
    <s v="039625732305"/>
    <s v="Angelina Feitosa Lemos"/>
    <s v="Ique Nobrega Monforte"/>
    <s v="Amarela"/>
    <x v="2"/>
    <x v="2"/>
    <s v="Não"/>
    <n v="0"/>
  </r>
  <r>
    <n v="590"/>
    <s v="Cecília Macedo Gentil"/>
    <d v="1988-10-15T00:00:00"/>
    <x v="37"/>
    <x v="588"/>
    <s v="76804-015"/>
    <x v="107"/>
    <x v="26"/>
    <s v="6338201149"/>
    <s v="391910565659"/>
    <s v="Elisa Filgueiras Macedo"/>
    <s v="Jaime Firmeza Gentil"/>
    <s v="Parda"/>
    <x v="17"/>
    <x v="0"/>
    <s v="Não"/>
    <n v="0"/>
  </r>
  <r>
    <n v="591"/>
    <s v="Cordélia Garcez Maldonado"/>
    <d v="1976-09-23T00:00:00"/>
    <x v="31"/>
    <x v="589"/>
    <s v="64001-020"/>
    <x v="7"/>
    <x v="5"/>
    <s v="6917783181"/>
    <s v="226408138119"/>
    <s v="Augusta Fonseca Garcez"/>
    <s v="Iuri Jardim Maldonado"/>
    <s v="Branca"/>
    <x v="6"/>
    <x v="2"/>
    <s v="Não"/>
    <n v="0"/>
  </r>
  <r>
    <n v="592"/>
    <s v="Juliana Aguiar Bernardes"/>
    <d v="1990-05-28T00:00:00"/>
    <x v="42"/>
    <x v="590"/>
    <s v="69301-000"/>
    <x v="54"/>
    <x v="8"/>
    <s v="9359729074"/>
    <s v="336960257002"/>
    <s v="Erica Macedo Aguiar"/>
    <s v="Anderson Batista Bernardes"/>
    <s v="Parda"/>
    <x v="4"/>
    <x v="3"/>
    <s v="Sim"/>
    <n v="2"/>
  </r>
  <r>
    <n v="593"/>
    <s v="Bernardo Campos Padilha"/>
    <d v="1973-02-21T00:00:00"/>
    <x v="39"/>
    <x v="591"/>
    <s v="68920-000"/>
    <x v="2"/>
    <x v="2"/>
    <s v="6123705373"/>
    <s v="268439289817"/>
    <s v="Delia Maciel Campos"/>
    <s v="Alejandro Molina Padilha"/>
    <s v="Parda"/>
    <x v="16"/>
    <x v="2"/>
    <s v="Não"/>
    <n v="0"/>
  </r>
  <r>
    <n v="594"/>
    <s v="Adriano Matos Paes"/>
    <d v="1977-11-14T00:00:00"/>
    <x v="5"/>
    <x v="592"/>
    <s v="54410-010"/>
    <x v="89"/>
    <x v="14"/>
    <s v="6541338394"/>
    <s v="112094029598"/>
    <s v="Ingrid Faustino Matos"/>
    <s v="Gilberto Furquim Paes"/>
    <s v="Parda"/>
    <x v="12"/>
    <x v="2"/>
    <s v="Sim"/>
    <n v="1"/>
  </r>
  <r>
    <n v="595"/>
    <s v="Aida Dornelles Neto"/>
    <d v="1978-02-10T00:00:00"/>
    <x v="3"/>
    <x v="593"/>
    <s v="57050-000"/>
    <x v="70"/>
    <x v="9"/>
    <s v="8757379586"/>
    <s v="272492288988"/>
    <s v="Deise Borges Dornelles"/>
    <s v="Charles Antunes Neto"/>
    <s v="Preta"/>
    <x v="13"/>
    <x v="4"/>
    <s v="Sim"/>
    <n v="1"/>
  </r>
  <r>
    <n v="596"/>
    <s v="Helder Moreira Mendonca"/>
    <d v="1963-08-10T00:00:00"/>
    <x v="38"/>
    <x v="594"/>
    <s v="58400-220"/>
    <x v="76"/>
    <x v="20"/>
    <s v="0191202503"/>
    <s v="342839418035"/>
    <s v="Graça Xavier Moreira"/>
    <s v="Jader Lucena Mendonca"/>
    <s v="Branca"/>
    <x v="8"/>
    <x v="0"/>
    <s v="Sim"/>
    <n v="1"/>
  </r>
  <r>
    <n v="597"/>
    <s v="Caciano Borges Palma"/>
    <d v="1978-04-08T00:00:00"/>
    <x v="3"/>
    <x v="595"/>
    <s v="79800-001"/>
    <x v="4"/>
    <x v="3"/>
    <s v="4170091483"/>
    <s v="732439838959"/>
    <s v="Jandira Pastore Borges"/>
    <s v="Erick Freitas Palma"/>
    <s v="Branca"/>
    <x v="3"/>
    <x v="2"/>
    <s v="Sim"/>
    <n v="1"/>
  </r>
  <r>
    <n v="598"/>
    <s v="Ineu Aguiar Lourenco"/>
    <d v="1977-04-02T00:00:00"/>
    <x v="5"/>
    <x v="596"/>
    <s v="65606-010"/>
    <x v="24"/>
    <x v="16"/>
    <s v="3835577811"/>
    <s v="580409351219"/>
    <s v="Cora Cardoso Aguiar"/>
    <s v="Gledson Moura Lourenco"/>
    <s v="Parda"/>
    <x v="9"/>
    <x v="4"/>
    <s v="Sim"/>
    <n v="3"/>
  </r>
  <r>
    <n v="599"/>
    <s v="Fernandinho Mello Paiva"/>
    <d v="1973-11-28T00:00:00"/>
    <x v="39"/>
    <x v="597"/>
    <s v="36013-000"/>
    <x v="94"/>
    <x v="23"/>
    <s v="7561634394"/>
    <s v="739241600777"/>
    <s v="Carmem Melo Mello"/>
    <s v="Hermes Gentil Paiva"/>
    <s v="Branca"/>
    <x v="1"/>
    <x v="1"/>
    <s v="Não"/>
    <n v="0"/>
  </r>
  <r>
    <n v="600"/>
    <s v="Jarbas Castro Delgado"/>
    <d v="2001-11-05T00:00:00"/>
    <x v="9"/>
    <x v="598"/>
    <s v="85810-001"/>
    <x v="66"/>
    <x v="11"/>
    <s v="6774934472"/>
    <s v="213020055281"/>
    <s v="Erica Esteves Castro"/>
    <s v="Bento Meireles Delgado"/>
    <s v="Parda"/>
    <x v="3"/>
    <x v="3"/>
    <s v="Não"/>
    <n v="0"/>
  </r>
  <r>
    <n v="601"/>
    <s v="Ismael Meneses Cantanhede"/>
    <d v="1992-09-10T00:00:00"/>
    <x v="33"/>
    <x v="599"/>
    <s v="32600-112"/>
    <x v="79"/>
    <x v="23"/>
    <s v="8133891820"/>
    <s v="690023722302"/>
    <s v="Berenice Azevedo Meneses"/>
    <s v="Hortencio Fonseca Cantanhede"/>
    <s v="Parda"/>
    <x v="11"/>
    <x v="4"/>
    <s v="Sim"/>
    <n v="1"/>
  </r>
  <r>
    <n v="602"/>
    <s v="Benito Gaspar Paes"/>
    <d v="1964-03-18T00:00:00"/>
    <x v="8"/>
    <x v="600"/>
    <s v="76873-002"/>
    <x v="75"/>
    <x v="26"/>
    <s v="7426932578"/>
    <s v="771927070288"/>
    <s v="Aida Lima Gaspar"/>
    <s v="Anselmo Farias Paes"/>
    <s v="Branca"/>
    <x v="14"/>
    <x v="4"/>
    <s v="Sim"/>
    <n v="1"/>
  </r>
  <r>
    <n v="603"/>
    <s v="Damaris Fernandes Leite"/>
    <d v="2002-07-13T00:00:00"/>
    <x v="40"/>
    <x v="601"/>
    <s v="57300-040"/>
    <x v="11"/>
    <x v="9"/>
    <s v="6878753239"/>
    <s v="386626986877"/>
    <s v="Amélia Pinto Fernandes"/>
    <s v="Dario Godoy Leite"/>
    <s v="Parda"/>
    <x v="1"/>
    <x v="3"/>
    <s v="Não"/>
    <n v="0"/>
  </r>
  <r>
    <n v="604"/>
    <s v="Amara Carrasco Avila"/>
    <d v="1989-02-09T00:00:00"/>
    <x v="36"/>
    <x v="602"/>
    <s v="68900-073"/>
    <x v="104"/>
    <x v="2"/>
    <s v="4620842355"/>
    <s v="365935450291"/>
    <s v="Aurora Lourenco Carrasco"/>
    <s v="Eliseu Gonzaga Avila"/>
    <s v="Parda"/>
    <x v="1"/>
    <x v="3"/>
    <s v="Sim"/>
    <n v="1"/>
  </r>
  <r>
    <n v="605"/>
    <s v="Mariana Noronha Coelho"/>
    <d v="1987-06-25T00:00:00"/>
    <x v="6"/>
    <x v="603"/>
    <s v="85851-000"/>
    <x v="77"/>
    <x v="11"/>
    <s v="3082058293"/>
    <s v="364192393089"/>
    <s v="Dirce Carneiro Noronha"/>
    <s v="Anselmo Jesus Coelho"/>
    <s v="Parda"/>
    <x v="2"/>
    <x v="0"/>
    <s v="Não"/>
    <n v="0"/>
  </r>
  <r>
    <n v="606"/>
    <s v="Aura Gentil Malta"/>
    <d v="1996-10-16T00:00:00"/>
    <x v="2"/>
    <x v="604"/>
    <s v="70340-000"/>
    <x v="28"/>
    <x v="17"/>
    <s v="4720667789"/>
    <s v="403188530387"/>
    <s v="Clarice Barros Gentil"/>
    <s v="Samuel Nobre Malta"/>
    <s v="Parda"/>
    <x v="17"/>
    <x v="0"/>
    <s v="Sim"/>
    <n v="6"/>
  </r>
  <r>
    <n v="607"/>
    <s v="Conceição Inacio Nogueira"/>
    <d v="1994-07-17T00:00:00"/>
    <x v="24"/>
    <x v="605"/>
    <s v="70340-000"/>
    <x v="28"/>
    <x v="17"/>
    <s v="5682536069"/>
    <s v="639198643870"/>
    <s v="Cilene Caldas Inacio"/>
    <s v="Gisvaldo Girao Nogueira"/>
    <s v="Parda"/>
    <x v="1"/>
    <x v="4"/>
    <s v="Sim"/>
    <n v="14"/>
  </r>
  <r>
    <n v="608"/>
    <s v="Casemiro Jesus Batista"/>
    <d v="1984-11-02T00:00:00"/>
    <x v="23"/>
    <x v="606"/>
    <s v="59140-645"/>
    <x v="50"/>
    <x v="1"/>
    <s v="8536451328"/>
    <s v="508562942246"/>
    <s v="Evelyn Galvao Jesus"/>
    <s v="Elias Mangabeira Batista"/>
    <s v="Parda"/>
    <x v="9"/>
    <x v="1"/>
    <s v="Não"/>
    <n v="0"/>
  </r>
  <r>
    <n v="609"/>
    <s v="Erico Bueno Ladeira"/>
    <d v="2002-10-24T00:00:00"/>
    <x v="40"/>
    <x v="607"/>
    <s v="69301-000"/>
    <x v="54"/>
    <x v="8"/>
    <s v="5150434563"/>
    <s v="620242002119"/>
    <s v="Agatha Delgado Bueno"/>
    <s v="Jason Galvao Ladeira"/>
    <s v="Parda"/>
    <x v="18"/>
    <x v="2"/>
    <s v="Sim"/>
    <n v="1"/>
  </r>
  <r>
    <n v="610"/>
    <s v="Arlene Almeida Moura"/>
    <d v="1965-01-23T00:00:00"/>
    <x v="30"/>
    <x v="608"/>
    <s v="69980-000"/>
    <x v="53"/>
    <x v="13"/>
    <s v="5965045175"/>
    <s v="928545247874"/>
    <s v="Elisabete Mesquita Almeida"/>
    <s v="André Meireles Moura"/>
    <s v="Branca"/>
    <x v="11"/>
    <x v="4"/>
    <s v="Sim"/>
    <n v="1"/>
  </r>
  <r>
    <n v="611"/>
    <s v="Gabriela Novaes Ortiz"/>
    <d v="1977-08-26T00:00:00"/>
    <x v="5"/>
    <x v="609"/>
    <s v="69151-000"/>
    <x v="26"/>
    <x v="10"/>
    <s v="3525611740"/>
    <s v="616901563840"/>
    <s v="Anamaria Teixeira Novaes"/>
    <s v="Fabiano Miranda Ortiz"/>
    <s v="Parda"/>
    <x v="9"/>
    <x v="2"/>
    <s v="Sim"/>
    <n v="4"/>
  </r>
  <r>
    <n v="612"/>
    <s v="Amara Assis Barbosa"/>
    <d v="1983-12-11T00:00:00"/>
    <x v="46"/>
    <x v="610"/>
    <s v="57300-040"/>
    <x v="11"/>
    <x v="9"/>
    <s v="7661996014"/>
    <s v="401416809403"/>
    <s v="Janete Furquim Assis"/>
    <s v="Hermes Casanova Barbosa"/>
    <s v="Parda"/>
    <x v="6"/>
    <x v="3"/>
    <s v="Sim"/>
    <n v="1"/>
  </r>
  <r>
    <n v="613"/>
    <s v="Evelin Mendonca Goulart"/>
    <d v="1977-09-01T00:00:00"/>
    <x v="5"/>
    <x v="611"/>
    <s v="65606-010"/>
    <x v="24"/>
    <x v="16"/>
    <s v="8273168096"/>
    <s v="170925585960"/>
    <s v="Heloísa Pereira Mendonca"/>
    <s v="Fernando Palhares Goulart"/>
    <s v="Preta"/>
    <x v="15"/>
    <x v="4"/>
    <s v="Não"/>
    <n v="0"/>
  </r>
  <r>
    <n v="614"/>
    <s v="Helio Miranda Maciel"/>
    <d v="2002-02-26T00:00:00"/>
    <x v="40"/>
    <x v="612"/>
    <s v="89201-000"/>
    <x v="105"/>
    <x v="19"/>
    <s v="5837500892"/>
    <s v="438537365848"/>
    <s v="Ariela Henriques Miranda"/>
    <s v="Euzebio Alves Maciel"/>
    <s v="Parda"/>
    <x v="12"/>
    <x v="4"/>
    <s v="Não"/>
    <n v="0"/>
  </r>
  <r>
    <n v="615"/>
    <s v="Carolina Paiva Igrejas"/>
    <d v="1968-06-10T00:00:00"/>
    <x v="14"/>
    <x v="613"/>
    <s v="45023-490"/>
    <x v="3"/>
    <x v="0"/>
    <s v="2086615605"/>
    <s v="361436684002"/>
    <s v="Arlene Farias Paiva"/>
    <s v="Adilson Caldeira Igrejas"/>
    <s v="Preta"/>
    <x v="2"/>
    <x v="1"/>
    <s v="Não"/>
    <n v="0"/>
  </r>
  <r>
    <n v="616"/>
    <s v="Domingos Horta Almeida"/>
    <d v="1969-02-09T00:00:00"/>
    <x v="41"/>
    <x v="614"/>
    <s v="58800-040"/>
    <x v="97"/>
    <x v="20"/>
    <s v="0812153868"/>
    <s v="084769462506"/>
    <s v="Cleusa Rocha Horta"/>
    <s v="Alejandro Melo Almeida"/>
    <s v="Branca"/>
    <x v="1"/>
    <x v="4"/>
    <s v="Sim"/>
    <n v="2"/>
  </r>
  <r>
    <n v="617"/>
    <s v="Edmilson Gonzaga Almeida"/>
    <d v="1965-11-20T00:00:00"/>
    <x v="30"/>
    <x v="615"/>
    <s v="78008-000"/>
    <x v="19"/>
    <x v="4"/>
    <s v="7720230878"/>
    <s v="073504194220"/>
    <s v="Felícia Lagos Gonzaga"/>
    <s v="Almir Cavalcante Almeida"/>
    <s v="Parda"/>
    <x v="4"/>
    <x v="0"/>
    <s v="Não"/>
    <n v="0"/>
  </r>
  <r>
    <n v="618"/>
    <s v="Daiana Guedes Padilha"/>
    <d v="1998-09-10T00:00:00"/>
    <x v="47"/>
    <x v="616"/>
    <s v="65900-000"/>
    <x v="35"/>
    <x v="16"/>
    <s v="9419650174"/>
    <s v="295347859989"/>
    <s v="Aura Marinho Guedes"/>
    <s v="Giovanni Muniz Padilha"/>
    <s v="Parda"/>
    <x v="9"/>
    <x v="2"/>
    <s v="Sim"/>
    <n v="1"/>
  </r>
  <r>
    <n v="619"/>
    <s v="Helena Carneiro Marinho"/>
    <d v="1977-07-23T00:00:00"/>
    <x v="5"/>
    <x v="617"/>
    <s v="58013-020"/>
    <x v="100"/>
    <x v="20"/>
    <s v="3960979740"/>
    <s v="691089331205"/>
    <s v="Anamaria Franco Carneiro"/>
    <s v="Haroldo Barbosa Marinho"/>
    <s v="Parda"/>
    <x v="1"/>
    <x v="3"/>
    <s v="Sim"/>
    <n v="1"/>
  </r>
  <r>
    <n v="620"/>
    <s v="Gaston Giacomini Pastore"/>
    <d v="2005-09-27T00:00:00"/>
    <x v="11"/>
    <x v="618"/>
    <s v="58013-020"/>
    <x v="100"/>
    <x v="20"/>
    <s v="6673325059"/>
    <s v="185150272888"/>
    <s v="Elba Carrasco Giacomini"/>
    <s v="Dagoberto Ortiz Pastore"/>
    <s v="Parda"/>
    <x v="7"/>
    <x v="3"/>
    <s v="Não"/>
    <n v="0"/>
  </r>
  <r>
    <n v="621"/>
    <s v="Douglas Lagos Leal"/>
    <d v="1966-12-11T00:00:00"/>
    <x v="28"/>
    <x v="619"/>
    <s v="65606-010"/>
    <x v="24"/>
    <x v="16"/>
    <s v="2184039414"/>
    <s v="359775263048"/>
    <s v="Barbara Ortiz Lagos"/>
    <s v="Gilson Xavier Leal"/>
    <s v="Amarela"/>
    <x v="17"/>
    <x v="4"/>
    <s v="Não"/>
    <n v="0"/>
  </r>
  <r>
    <n v="622"/>
    <s v="Cleonice Frota Oliveira"/>
    <d v="2008-02-06T00:00:00"/>
    <x v="13"/>
    <x v="620"/>
    <s v="64600-000"/>
    <x v="74"/>
    <x v="5"/>
    <s v="8331795354"/>
    <s v="543970152018"/>
    <s v="Helena Marcondes Frota"/>
    <s v="Angelo Maciel Oliveira"/>
    <s v="Parda"/>
    <x v="1"/>
    <x v="3"/>
    <s v="Sim"/>
    <n v="1"/>
  </r>
  <r>
    <n v="623"/>
    <s v="Djalmir Mendes Paes"/>
    <d v="1979-02-18T00:00:00"/>
    <x v="12"/>
    <x v="621"/>
    <s v="68920-000"/>
    <x v="2"/>
    <x v="2"/>
    <s v="3801997911"/>
    <s v="098184064526"/>
    <s v="Antonia Antunes Mendes"/>
    <s v="Aldo Casanova Paes"/>
    <s v="Parda"/>
    <x v="7"/>
    <x v="3"/>
    <s v="Não"/>
    <n v="0"/>
  </r>
  <r>
    <n v="624"/>
    <s v="Fausta Duarte Brito"/>
    <d v="2007-02-22T00:00:00"/>
    <x v="18"/>
    <x v="622"/>
    <s v="64600-000"/>
    <x v="74"/>
    <x v="5"/>
    <s v="6957441830"/>
    <s v="887325649886"/>
    <s v="Clarissa Andrade Duarte"/>
    <s v="Claudio Fraga Brito"/>
    <s v="Branca"/>
    <x v="11"/>
    <x v="1"/>
    <s v="Sim"/>
    <n v="7"/>
  </r>
  <r>
    <n v="625"/>
    <s v="Feliciano Feitosa Moraes"/>
    <d v="1990-06-20T00:00:00"/>
    <x v="42"/>
    <x v="623"/>
    <s v="44002-048"/>
    <x v="42"/>
    <x v="0"/>
    <s v="5172288020"/>
    <s v="751364051045"/>
    <s v="Cora Neves Feitosa"/>
    <s v="Emanuel Monforte Moraes"/>
    <s v="Amarela"/>
    <x v="5"/>
    <x v="4"/>
    <s v="Sim"/>
    <n v="2"/>
  </r>
  <r>
    <n v="626"/>
    <s v="Guilherme Noronha Cordeiro"/>
    <d v="1988-08-23T00:00:00"/>
    <x v="37"/>
    <x v="624"/>
    <s v="69900-001"/>
    <x v="16"/>
    <x v="13"/>
    <s v="3593334721"/>
    <s v="462586848466"/>
    <s v="Gisela Montenegro Noronha"/>
    <s v="Gustavo Holanda Cordeiro"/>
    <s v="Parda"/>
    <x v="3"/>
    <x v="4"/>
    <s v="Não"/>
    <n v="0"/>
  </r>
  <r>
    <n v="627"/>
    <s v="Everaldo Teixeira Ornellas"/>
    <d v="1962-02-07T00:00:00"/>
    <x v="25"/>
    <x v="625"/>
    <s v="32600-112"/>
    <x v="79"/>
    <x v="23"/>
    <s v="4270680712"/>
    <s v="075142408929"/>
    <s v="Jaqueline Melo Teixeira"/>
    <s v="Chico Figueira Ornellas"/>
    <s v="Branca"/>
    <x v="3"/>
    <x v="0"/>
    <s v="Não"/>
    <n v="0"/>
  </r>
  <r>
    <n v="628"/>
    <s v="Francisco Cavalcante Matos"/>
    <d v="1963-04-27T00:00:00"/>
    <x v="38"/>
    <x v="626"/>
    <s v="96020-000"/>
    <x v="73"/>
    <x v="7"/>
    <s v="3519166026"/>
    <s v="399314516292"/>
    <s v="Carolina Guerra Cavalcante"/>
    <s v="Eliezer Evangelista Matos"/>
    <s v="Parda"/>
    <x v="8"/>
    <x v="0"/>
    <s v="Não"/>
    <n v="0"/>
  </r>
  <r>
    <n v="629"/>
    <s v="Breno Lemos Igrejas"/>
    <d v="1989-08-07T00:00:00"/>
    <x v="36"/>
    <x v="627"/>
    <s v="77015-002"/>
    <x v="65"/>
    <x v="21"/>
    <s v="5867874832"/>
    <s v="799723934293"/>
    <s v="Emily Bueno Lemos"/>
    <s v="Cristiano Nascimento Igrejas"/>
    <s v="Branca"/>
    <x v="12"/>
    <x v="4"/>
    <s v="Sim"/>
    <n v="1"/>
  </r>
  <r>
    <n v="630"/>
    <s v="Fausta Mendes Moreira"/>
    <d v="1980-06-06T00:00:00"/>
    <x v="27"/>
    <x v="628"/>
    <s v="29146-300"/>
    <x v="80"/>
    <x v="24"/>
    <s v="8840529238"/>
    <s v="497808037605"/>
    <s v="Eveline Geraldo Mendes"/>
    <s v="Edilson Oliveira Moreira"/>
    <s v="Parda"/>
    <x v="16"/>
    <x v="4"/>
    <s v="Não"/>
    <n v="0"/>
  </r>
  <r>
    <n v="631"/>
    <s v="Jasper Bernardes Cordeiro"/>
    <d v="2006-03-14T00:00:00"/>
    <x v="19"/>
    <x v="629"/>
    <s v="29146-300"/>
    <x v="80"/>
    <x v="24"/>
    <s v="0233483082"/>
    <s v="648795039554"/>
    <s v="Geovana Ortega Bernardes"/>
    <s v="João Meneses Cordeiro"/>
    <s v="Branca"/>
    <x v="14"/>
    <x v="4"/>
    <s v="Sim"/>
    <n v="3"/>
  </r>
  <r>
    <n v="632"/>
    <s v="Beto Cantanhede Chaves"/>
    <d v="1961-01-17T00:00:00"/>
    <x v="1"/>
    <x v="630"/>
    <s v="87013-000"/>
    <x v="13"/>
    <x v="11"/>
    <s v="9263441914"/>
    <s v="421947261270"/>
    <s v="Sofia Xavier Cantanhede"/>
    <s v="Edmar Barros Chaves"/>
    <s v="Preta"/>
    <x v="3"/>
    <x v="2"/>
    <s v="Não"/>
    <n v="0"/>
  </r>
  <r>
    <n v="633"/>
    <s v="Henrique Guimaraes Jordao"/>
    <d v="1997-07-18T00:00:00"/>
    <x v="4"/>
    <x v="631"/>
    <s v="68900-073"/>
    <x v="104"/>
    <x v="2"/>
    <s v="2850984454"/>
    <s v="125401181980"/>
    <s v="Jane Molina Guimaraes"/>
    <s v="Fausto Cabral Jordao"/>
    <s v="Branca"/>
    <x v="15"/>
    <x v="1"/>
    <s v="Sim"/>
    <n v="3"/>
  </r>
  <r>
    <n v="634"/>
    <s v="Brunella Lemos Luz"/>
    <d v="1976-08-26T00:00:00"/>
    <x v="31"/>
    <x v="632"/>
    <s v="68501-000"/>
    <x v="96"/>
    <x v="15"/>
    <s v="5300039455"/>
    <s v="369857281612"/>
    <s v="Helena Pastrocinio Lemos"/>
    <s v="Geremias Paes Luz"/>
    <s v="Branca"/>
    <x v="1"/>
    <x v="2"/>
    <s v="Sim"/>
    <n v="1"/>
  </r>
  <r>
    <n v="635"/>
    <s v="Damaris Maldonado Lima"/>
    <d v="1999-09-12T00:00:00"/>
    <x v="10"/>
    <x v="633"/>
    <s v="13208-056"/>
    <x v="95"/>
    <x v="12"/>
    <s v="6886040658"/>
    <s v="215317203744"/>
    <s v="Eliane Cintra Maldonado"/>
    <s v="Ismael Noval Lima"/>
    <s v="Preta"/>
    <x v="8"/>
    <x v="2"/>
    <s v="Sim"/>
    <n v="1"/>
  </r>
  <r>
    <n v="636"/>
    <s v="Catarina Gama Giacomini"/>
    <d v="1974-12-02T00:00:00"/>
    <x v="0"/>
    <x v="634"/>
    <s v="24230-050"/>
    <x v="47"/>
    <x v="22"/>
    <s v="2116323832"/>
    <s v="786532689153"/>
    <s v="Cilene Leite Gama"/>
    <s v="Celso Casanova Giacomini"/>
    <s v="Branca"/>
    <x v="2"/>
    <x v="4"/>
    <s v="Sim"/>
    <n v="3"/>
  </r>
  <r>
    <n v="637"/>
    <s v="Emanuela Gentil Esteves"/>
    <d v="1963-05-22T00:00:00"/>
    <x v="38"/>
    <x v="635"/>
    <s v="29060-235"/>
    <x v="51"/>
    <x v="24"/>
    <s v="0239999702"/>
    <s v="900433908953"/>
    <s v="Cássia Igrejas Gentil"/>
    <s v="Jefferson Cavalcante Esteves"/>
    <s v="Branca"/>
    <x v="2"/>
    <x v="1"/>
    <s v="Não"/>
    <n v="0"/>
  </r>
  <r>
    <n v="638"/>
    <s v="Jesse Fraga Lourenco"/>
    <d v="2001-07-05T00:00:00"/>
    <x v="9"/>
    <x v="636"/>
    <s v="69980-000"/>
    <x v="53"/>
    <x v="13"/>
    <s v="9321533682"/>
    <s v="658353522704"/>
    <s v="Clarissa Freire Fraga"/>
    <s v="Aldo Dornelles Lourenco"/>
    <s v="Preta"/>
    <x v="13"/>
    <x v="3"/>
    <s v="Não"/>
    <n v="0"/>
  </r>
  <r>
    <n v="639"/>
    <s v="Eloá Filgueiras Cunha"/>
    <d v="1985-01-08T00:00:00"/>
    <x v="26"/>
    <x v="637"/>
    <s v="87013-000"/>
    <x v="13"/>
    <x v="11"/>
    <s v="4147235695"/>
    <s v="250477718529"/>
    <s v="Júlia Caldas Filgueiras"/>
    <s v="Jesse Lourdes Cunha"/>
    <s v="Parda"/>
    <x v="17"/>
    <x v="1"/>
    <s v="Não"/>
    <n v="0"/>
  </r>
  <r>
    <n v="640"/>
    <s v="Edvaldo Pastrocinio Fonseca"/>
    <d v="1974-10-05T00:00:00"/>
    <x v="0"/>
    <x v="638"/>
    <s v="45023-490"/>
    <x v="3"/>
    <x v="0"/>
    <s v="5255317594"/>
    <s v="924344293963"/>
    <s v="Isadora Laranjeira Pastrocinio"/>
    <s v="Caio Jardim Fonseca"/>
    <s v="Parda"/>
    <x v="9"/>
    <x v="3"/>
    <s v="Sim"/>
    <n v="2"/>
  </r>
  <r>
    <n v="641"/>
    <s v="Flávia Carvalho Caldeira"/>
    <d v="1999-02-15T00:00:00"/>
    <x v="10"/>
    <x v="639"/>
    <s v="59140-645"/>
    <x v="50"/>
    <x v="1"/>
    <s v="1425034220"/>
    <s v="526686775205"/>
    <s v="Ivete Baptista Carvalho"/>
    <s v="Guilherme Lozano Caldeira"/>
    <s v="Branca"/>
    <x v="17"/>
    <x v="0"/>
    <s v="Não"/>
    <n v="0"/>
  </r>
  <r>
    <n v="642"/>
    <s v="Dora Farias Melo"/>
    <d v="1990-09-02T00:00:00"/>
    <x v="42"/>
    <x v="640"/>
    <s v="84010-000"/>
    <x v="59"/>
    <x v="11"/>
    <s v="3500292476"/>
    <s v="677278457238"/>
    <s v="Amanda Brito Farias"/>
    <s v="Feliciano Caldas Melo"/>
    <s v="Preta"/>
    <x v="0"/>
    <x v="2"/>
    <s v="Sim"/>
    <n v="3"/>
  </r>
  <r>
    <n v="643"/>
    <s v="Isadora Cabral Cunha"/>
    <d v="1963-12-05T00:00:00"/>
    <x v="38"/>
    <x v="641"/>
    <s v="69900-001"/>
    <x v="16"/>
    <x v="13"/>
    <s v="5640959090"/>
    <s v="101952109960"/>
    <s v="Janice Nobre Cabral"/>
    <s v="Fred Igrejas Cunha"/>
    <s v="Preta"/>
    <x v="4"/>
    <x v="4"/>
    <s v="Sim"/>
    <n v="1"/>
  </r>
  <r>
    <n v="644"/>
    <s v="Flavio Noval Souza"/>
    <d v="1999-11-01T00:00:00"/>
    <x v="10"/>
    <x v="642"/>
    <s v="67013-000"/>
    <x v="23"/>
    <x v="15"/>
    <s v="5868201698"/>
    <s v="500715684334"/>
    <s v="Daiana Araujo Noval"/>
    <s v="Rafael Meireles Souza"/>
    <s v="Preta"/>
    <x v="2"/>
    <x v="0"/>
    <s v="Não"/>
    <n v="0"/>
  </r>
  <r>
    <n v="645"/>
    <s v="Frederica Jesus Lacerda"/>
    <d v="2001-09-03T00:00:00"/>
    <x v="9"/>
    <x v="643"/>
    <s v="29100-010"/>
    <x v="92"/>
    <x v="24"/>
    <s v="8301994710"/>
    <s v="675451559210"/>
    <s v="Jaqueline Evangelista Jesus"/>
    <s v="Cesar Figueiredo Lacerda"/>
    <s v="Branca"/>
    <x v="16"/>
    <x v="4"/>
    <s v="Sim"/>
    <n v="2"/>
  </r>
  <r>
    <n v="646"/>
    <s v="Amara Machado Mata"/>
    <d v="2007-06-01T00:00:00"/>
    <x v="18"/>
    <x v="644"/>
    <s v="49160-000"/>
    <x v="69"/>
    <x v="25"/>
    <s v="1796210068"/>
    <s v="281905836469"/>
    <s v="Emília Domingues Machado"/>
    <s v="Aldo Palhares Mata"/>
    <s v="Parda"/>
    <x v="11"/>
    <x v="4"/>
    <s v="Sim"/>
    <n v="1"/>
  </r>
  <r>
    <n v="647"/>
    <s v="David Branco Barros"/>
    <d v="1986-03-12T00:00:00"/>
    <x v="45"/>
    <x v="645"/>
    <s v="29146-300"/>
    <x v="80"/>
    <x v="24"/>
    <s v="4415664137"/>
    <s v="672469001133"/>
    <s v="Astrid Molina Branco"/>
    <s v="Frederico Lourdes Barros"/>
    <s v="Preta"/>
    <x v="7"/>
    <x v="3"/>
    <s v="Sim"/>
    <n v="2"/>
  </r>
  <r>
    <n v="648"/>
    <s v="Clarice Ortega Naves"/>
    <d v="1985-09-20T00:00:00"/>
    <x v="26"/>
    <x v="646"/>
    <s v="64800-000"/>
    <x v="6"/>
    <x v="5"/>
    <s v="5926110391"/>
    <s v="839303809807"/>
    <s v="Iolanda Jesus Ortega"/>
    <s v="Jamil Lacerda Naves"/>
    <s v="Parda"/>
    <x v="16"/>
    <x v="2"/>
    <s v="Não"/>
    <n v="0"/>
  </r>
  <r>
    <n v="649"/>
    <s v="Íris Cintra Geraldo"/>
    <d v="1972-10-10T00:00:00"/>
    <x v="21"/>
    <x v="647"/>
    <s v="68925-001"/>
    <x v="63"/>
    <x v="2"/>
    <s v="6260187635"/>
    <s v="449565303607"/>
    <s v="Gabriela Magalhaes Cintra"/>
    <s v="Helder Caldas Geraldo"/>
    <s v="Parda"/>
    <x v="14"/>
    <x v="2"/>
    <s v="Sim"/>
    <n v="1"/>
  </r>
  <r>
    <n v="650"/>
    <s v="Carminha Godoy Firmeza"/>
    <d v="1977-08-07T00:00:00"/>
    <x v="5"/>
    <x v="648"/>
    <s v="29100-010"/>
    <x v="92"/>
    <x v="24"/>
    <s v="7992997743"/>
    <s v="711975970789"/>
    <s v="Sofia Bello Godoy"/>
    <s v="Ismael Teixeira Firmeza"/>
    <s v="Preta"/>
    <x v="16"/>
    <x v="3"/>
    <s v="Não"/>
    <n v="0"/>
  </r>
  <r>
    <n v="651"/>
    <s v="Baltazar Luz Aguiar"/>
    <d v="1989-09-13T00:00:00"/>
    <x v="36"/>
    <x v="649"/>
    <s v="78008-000"/>
    <x v="19"/>
    <x v="4"/>
    <s v="7766660145"/>
    <s v="664910050338"/>
    <s v="Jane Pastrocinio Luz"/>
    <s v="Ismael Maciel Aguiar"/>
    <s v="Parda"/>
    <x v="15"/>
    <x v="0"/>
    <s v="Sim"/>
    <n v="1"/>
  </r>
  <r>
    <n v="652"/>
    <s v="Eliseu Pereira Figueira"/>
    <d v="1983-04-11T00:00:00"/>
    <x v="46"/>
    <x v="650"/>
    <s v="79601-001"/>
    <x v="18"/>
    <x v="3"/>
    <s v="0340250324"/>
    <s v="282709173597"/>
    <s v="Beatriz Bernardes Pereira"/>
    <s v="Cris Fraga Figueira"/>
    <s v="Parda"/>
    <x v="14"/>
    <x v="2"/>
    <s v="Sim"/>
    <n v="1"/>
  </r>
  <r>
    <n v="653"/>
    <s v="Anamaria Mascarenhas Nobre"/>
    <d v="1964-01-10T00:00:00"/>
    <x v="8"/>
    <x v="651"/>
    <s v="74912-420"/>
    <x v="103"/>
    <x v="6"/>
    <s v="1694314780"/>
    <s v="368101348037"/>
    <s v="Guilhermina Muniz Mascarenhas"/>
    <s v="Francisco Ornellas Nobre"/>
    <s v="Preta"/>
    <x v="18"/>
    <x v="4"/>
    <s v="Não"/>
    <n v="0"/>
  </r>
  <r>
    <n v="654"/>
    <s v="Debora Firmeza Moura"/>
    <d v="1973-05-24T00:00:00"/>
    <x v="39"/>
    <x v="652"/>
    <s v="13208-056"/>
    <x v="95"/>
    <x v="12"/>
    <s v="5246845714"/>
    <s v="782764174163"/>
    <s v="Jaqueline Gomes Firmeza"/>
    <s v="Clovis Freitas Moura"/>
    <s v="Branca"/>
    <x v="0"/>
    <x v="0"/>
    <s v="Não"/>
    <n v="0"/>
  </r>
  <r>
    <n v="655"/>
    <s v="Camila Teixeira Brito"/>
    <d v="1988-09-08T00:00:00"/>
    <x v="37"/>
    <x v="653"/>
    <s v="13208-056"/>
    <x v="95"/>
    <x v="12"/>
    <s v="2829312383"/>
    <s v="120497830428"/>
    <s v="Andrea Martins Teixeira"/>
    <s v="João Andrade Brito"/>
    <s v="Branca"/>
    <x v="6"/>
    <x v="3"/>
    <s v="Não"/>
    <n v="0"/>
  </r>
  <r>
    <n v="656"/>
    <s v="Augusto Coimbra Dantas"/>
    <d v="1987-01-11T00:00:00"/>
    <x v="6"/>
    <x v="654"/>
    <s v="29100-010"/>
    <x v="92"/>
    <x v="24"/>
    <s v="4418659819"/>
    <s v="605981303703"/>
    <s v="Graciela Ferreira Coimbra"/>
    <s v="Biel Noronha Dantas"/>
    <s v="Parda"/>
    <x v="16"/>
    <x v="2"/>
    <s v="Sim"/>
    <n v="1"/>
  </r>
  <r>
    <n v="657"/>
    <s v="Eleonora Caldeira Barreto"/>
    <d v="1985-05-20T00:00:00"/>
    <x v="26"/>
    <x v="655"/>
    <s v="78700-050"/>
    <x v="5"/>
    <x v="4"/>
    <s v="1688913782"/>
    <s v="181779376982"/>
    <s v="Amanda Aranha Caldeira"/>
    <s v="Guilherme Costa Barreto"/>
    <s v="Preta"/>
    <x v="14"/>
    <x v="0"/>
    <s v="Não"/>
    <n v="0"/>
  </r>
  <r>
    <n v="658"/>
    <s v="Gisvaldo Leite Martins"/>
    <d v="2007-07-11T00:00:00"/>
    <x v="18"/>
    <x v="656"/>
    <s v="59600-005"/>
    <x v="34"/>
    <x v="1"/>
    <s v="8120530529"/>
    <s v="548348560457"/>
    <s v="Aurora Lemos Leite"/>
    <s v="Carlos Borges Martins"/>
    <s v="Parda"/>
    <x v="2"/>
    <x v="0"/>
    <s v="Não"/>
    <n v="0"/>
  </r>
  <r>
    <n v="659"/>
    <s v="Cacilda Santos Aranha"/>
    <d v="1961-12-06T00:00:00"/>
    <x v="1"/>
    <x v="657"/>
    <s v="80060-000"/>
    <x v="43"/>
    <x v="11"/>
    <s v="4288149652"/>
    <s v="288997736166"/>
    <s v="Celina Junqueira Santos"/>
    <s v="Helio Caceres Aranha"/>
    <s v="Branca"/>
    <x v="10"/>
    <x v="0"/>
    <s v="Sim"/>
    <n v="1"/>
  </r>
  <r>
    <n v="660"/>
    <s v="Francisco Pereira Nobrega"/>
    <d v="2003-02-01T00:00:00"/>
    <x v="20"/>
    <x v="658"/>
    <s v="69980-000"/>
    <x v="53"/>
    <x v="13"/>
    <s v="9228648544"/>
    <s v="495977101878"/>
    <s v="Chantal Branco Pereira"/>
    <s v="Emanuel Mesquita Nobrega"/>
    <s v="Parda"/>
    <x v="6"/>
    <x v="1"/>
    <s v="Sim"/>
    <n v="1"/>
  </r>
  <r>
    <n v="661"/>
    <s v="Francine Pamplona Miranda"/>
    <d v="2007-09-01T00:00:00"/>
    <x v="18"/>
    <x v="659"/>
    <s v="88101-001"/>
    <x v="62"/>
    <x v="19"/>
    <s v="3908371406"/>
    <s v="985762065857"/>
    <s v="Coralina Moraes Pamplona"/>
    <s v="Ricardo Figueiredo Miranda"/>
    <s v="Parda"/>
    <x v="5"/>
    <x v="1"/>
    <s v="Não"/>
    <n v="0"/>
  </r>
  <r>
    <n v="662"/>
    <s v="Beto Ferreira Henriques"/>
    <d v="1981-01-03T00:00:00"/>
    <x v="35"/>
    <x v="660"/>
    <s v="40060-001"/>
    <x v="0"/>
    <x v="0"/>
    <s v="6290066034"/>
    <s v="723922788067"/>
    <s v="Izabel Figueiredo Ferreira"/>
    <s v="Eduardo Miranda Henriques"/>
    <s v="Parda"/>
    <x v="7"/>
    <x v="2"/>
    <s v="Não"/>
    <n v="0"/>
  </r>
  <r>
    <n v="663"/>
    <s v="Ivete Giacomini Gusmao"/>
    <d v="1969-05-07T00:00:00"/>
    <x v="41"/>
    <x v="661"/>
    <s v="74912-420"/>
    <x v="103"/>
    <x v="6"/>
    <s v="6267774817"/>
    <s v="585026403483"/>
    <s v="Eveline Xavier Giacomini"/>
    <s v="Elias Caceres Gusmao"/>
    <s v="Preta"/>
    <x v="1"/>
    <x v="4"/>
    <s v="Sim"/>
    <n v="1"/>
  </r>
  <r>
    <n v="664"/>
    <s v="Flavio Pacheco Xavier"/>
    <d v="1992-07-27T00:00:00"/>
    <x v="33"/>
    <x v="662"/>
    <s v="27260-120"/>
    <x v="64"/>
    <x v="22"/>
    <s v="1312162542"/>
    <s v="533307937488"/>
    <s v="Eulália Belmonte Pacheco"/>
    <s v="Jeronimo Esteves Xavier"/>
    <s v="Branca"/>
    <x v="8"/>
    <x v="3"/>
    <s v="Sim"/>
    <n v="1"/>
  </r>
  <r>
    <n v="665"/>
    <s v="Benjamin Cardoso Avila"/>
    <d v="1972-07-22T00:00:00"/>
    <x v="21"/>
    <x v="663"/>
    <s v="25010-001"/>
    <x v="52"/>
    <x v="22"/>
    <s v="9474714520"/>
    <s v="866196924569"/>
    <s v="Fausta Maldonado Cardoso"/>
    <s v="Gian Furquim Avila"/>
    <s v="Parda"/>
    <x v="12"/>
    <x v="3"/>
    <s v="Sim"/>
    <n v="1"/>
  </r>
  <r>
    <n v="666"/>
    <s v="Almir Matos Bello"/>
    <d v="1992-04-10T00:00:00"/>
    <x v="33"/>
    <x v="664"/>
    <s v="58800-040"/>
    <x v="97"/>
    <x v="20"/>
    <s v="1817891818"/>
    <s v="374652091768"/>
    <s v="Daniela Neves Matos"/>
    <s v="Clovis Lozano Bello"/>
    <s v="Parda"/>
    <x v="19"/>
    <x v="1"/>
    <s v="Sim"/>
    <n v="1"/>
  </r>
  <r>
    <n v="667"/>
    <s v="Evelyn Jordao Guimaraes"/>
    <d v="1972-03-08T00:00:00"/>
    <x v="21"/>
    <x v="665"/>
    <s v="36013-000"/>
    <x v="94"/>
    <x v="23"/>
    <s v="3804117191"/>
    <s v="031515777933"/>
    <s v="Daniele Delgado Jordao"/>
    <s v="Ernesto Dantas Guimaraes"/>
    <s v="Parda"/>
    <x v="17"/>
    <x v="1"/>
    <s v="Sim"/>
    <n v="1"/>
  </r>
  <r>
    <n v="668"/>
    <s v="Alana Ladeira Pacheco"/>
    <d v="1968-01-06T00:00:00"/>
    <x v="14"/>
    <x v="666"/>
    <s v="64001-020"/>
    <x v="7"/>
    <x v="5"/>
    <s v="7890887657"/>
    <s v="170501160869"/>
    <s v="Emília Inacio Ladeira"/>
    <s v="Israel Cantanhede Pacheco"/>
    <s v="Parda"/>
    <x v="19"/>
    <x v="4"/>
    <s v="Não"/>
    <n v="0"/>
  </r>
  <r>
    <n v="669"/>
    <s v="Hermes Marcondes Luz"/>
    <d v="1970-03-06T00:00:00"/>
    <x v="16"/>
    <x v="667"/>
    <s v="60150-160"/>
    <x v="106"/>
    <x v="18"/>
    <s v="1070504970"/>
    <s v="663001737571"/>
    <s v="Jandira Inacio Marcondes"/>
    <s v="Beto Cabral Luz"/>
    <s v="Branca"/>
    <x v="10"/>
    <x v="4"/>
    <s v="Sim"/>
    <n v="7"/>
  </r>
  <r>
    <n v="670"/>
    <s v="Emilio Belmonte Castro"/>
    <d v="1972-05-12T00:00:00"/>
    <x v="21"/>
    <x v="668"/>
    <s v="78700-050"/>
    <x v="5"/>
    <x v="4"/>
    <s v="6076703950"/>
    <s v="911586925755"/>
    <s v="Constança Morais Belmonte"/>
    <s v="Cristovao Carvalho Castro"/>
    <s v="Parda"/>
    <x v="1"/>
    <x v="3"/>
    <s v="Sim"/>
    <n v="1"/>
  </r>
  <r>
    <n v="671"/>
    <s v="Adilson Padilha Cintra"/>
    <d v="1981-06-06T00:00:00"/>
    <x v="35"/>
    <x v="669"/>
    <s v="40060-001"/>
    <x v="0"/>
    <x v="0"/>
    <s v="7583577262"/>
    <s v="224068463253"/>
    <s v="Cleusa Cunha Padilha"/>
    <s v="Alfredo Coelho Cintra"/>
    <s v="Parda"/>
    <x v="3"/>
    <x v="3"/>
    <s v="Sim"/>
    <n v="2"/>
  </r>
  <r>
    <n v="672"/>
    <s v="Denise Macedo Furquim"/>
    <d v="1971-11-22T00:00:00"/>
    <x v="34"/>
    <x v="670"/>
    <s v="95010-000"/>
    <x v="99"/>
    <x v="7"/>
    <s v="0655237194"/>
    <s v="991900819447"/>
    <s v="Gisela Andrade Macedo"/>
    <s v="Angelo Galvao Furquim"/>
    <s v="Parda"/>
    <x v="18"/>
    <x v="0"/>
    <s v="Não"/>
    <n v="0"/>
  </r>
  <r>
    <n v="673"/>
    <s v="Fausto Caldas Camargo"/>
    <d v="2008-06-14T00:00:00"/>
    <x v="13"/>
    <x v="671"/>
    <s v="76900-010"/>
    <x v="81"/>
    <x v="26"/>
    <s v="2441171253"/>
    <s v="162120253365"/>
    <s v="Felícia Chaves Caldas"/>
    <s v="Amauri Lopes Camargo"/>
    <s v="Parda"/>
    <x v="5"/>
    <x v="1"/>
    <s v="Sim"/>
    <n v="1"/>
  </r>
  <r>
    <n v="674"/>
    <s v="Gisele Mascarenhas Moura"/>
    <d v="1994-11-20T00:00:00"/>
    <x v="24"/>
    <x v="672"/>
    <s v="78700-050"/>
    <x v="5"/>
    <x v="4"/>
    <s v="4167557323"/>
    <s v="415742805376"/>
    <s v="Camila Franco Mascarenhas"/>
    <s v="Bento Bittencourt Moura"/>
    <s v="Branca"/>
    <x v="13"/>
    <x v="3"/>
    <s v="Sim"/>
    <n v="1"/>
  </r>
  <r>
    <n v="675"/>
    <s v="Ariane Holanda Mascarenhas"/>
    <d v="1976-10-25T00:00:00"/>
    <x v="31"/>
    <x v="673"/>
    <s v="90010-420"/>
    <x v="48"/>
    <x v="7"/>
    <s v="2213276414"/>
    <s v="633087120924"/>
    <s v="Dora Fraga Holanda"/>
    <s v="Angelo Galvao Mascarenhas"/>
    <s v="Parda"/>
    <x v="11"/>
    <x v="4"/>
    <s v="Sim"/>
    <n v="1"/>
  </r>
  <r>
    <n v="676"/>
    <s v="Dora Almeida Lacerda"/>
    <d v="1999-11-12T00:00:00"/>
    <x v="10"/>
    <x v="674"/>
    <s v="65900-000"/>
    <x v="35"/>
    <x v="16"/>
    <s v="7287566265"/>
    <s v="114635467772"/>
    <s v="Daiana Faria Almeida"/>
    <s v="Alexandre Freitas Lacerda"/>
    <s v="Preta"/>
    <x v="16"/>
    <x v="2"/>
    <s v="Não"/>
    <n v="0"/>
  </r>
  <r>
    <n v="677"/>
    <s v="Emilio Lima Cabral"/>
    <d v="1977-01-23T00:00:00"/>
    <x v="5"/>
    <x v="675"/>
    <s v="72800-000"/>
    <x v="40"/>
    <x v="6"/>
    <s v="7361076956"/>
    <s v="048317333535"/>
    <s v="Fausta Evangelista Lima"/>
    <s v="Hamilton Alves Cabral"/>
    <s v="Parda"/>
    <x v="17"/>
    <x v="4"/>
    <s v="Sim"/>
    <n v="7"/>
  </r>
  <r>
    <n v="678"/>
    <s v="Diná Machado Cardoso"/>
    <d v="1967-03-21T00:00:00"/>
    <x v="29"/>
    <x v="676"/>
    <s v="39400-215"/>
    <x v="108"/>
    <x v="23"/>
    <s v="4498279545"/>
    <s v="013053696627"/>
    <s v="Gisela Paes Machado"/>
    <s v="Dalmo Passos Cardoso"/>
    <s v="Branca"/>
    <x v="16"/>
    <x v="1"/>
    <s v="Não"/>
    <n v="0"/>
  </r>
  <r>
    <n v="679"/>
    <s v="Carolina Godoy Henriques"/>
    <d v="1983-07-04T00:00:00"/>
    <x v="46"/>
    <x v="677"/>
    <s v="25620-000"/>
    <x v="38"/>
    <x v="22"/>
    <s v="7513204396"/>
    <s v="678100313645"/>
    <s v="Elisângela Pastrocinio Godoy"/>
    <s v="Federico Noronha Henriques"/>
    <s v="Preta"/>
    <x v="10"/>
    <x v="1"/>
    <s v="Sim"/>
    <n v="7"/>
  </r>
  <r>
    <n v="680"/>
    <s v="Estela Souza Feitosa"/>
    <d v="1993-06-01T00:00:00"/>
    <x v="32"/>
    <x v="678"/>
    <s v="68005-080"/>
    <x v="67"/>
    <x v="15"/>
    <s v="9918564612"/>
    <s v="214673660352"/>
    <s v="Eliane Brito Souza"/>
    <s v="Jesse Holanda Feitosa"/>
    <s v="Parda"/>
    <x v="9"/>
    <x v="2"/>
    <s v="Sim"/>
    <n v="1"/>
  </r>
  <r>
    <n v="681"/>
    <s v="Aparecida Pastore Figueiredo"/>
    <d v="1978-11-09T00:00:00"/>
    <x v="3"/>
    <x v="679"/>
    <s v="44002-048"/>
    <x v="42"/>
    <x v="0"/>
    <s v="5404024464"/>
    <s v="299125741328"/>
    <s v="Renata Dias Pastore"/>
    <s v="Aparicio Lousada Figueiredo"/>
    <s v="Branca"/>
    <x v="0"/>
    <x v="2"/>
    <s v="Sim"/>
    <n v="1"/>
  </r>
  <r>
    <n v="682"/>
    <s v="Celina Caceres Avila"/>
    <d v="1989-03-18T00:00:00"/>
    <x v="36"/>
    <x v="680"/>
    <s v="57050-000"/>
    <x v="70"/>
    <x v="9"/>
    <s v="6322879441"/>
    <s v="791421395698"/>
    <s v="Aline Moraes Caceres"/>
    <s v="Gilson Bittencourt Avila"/>
    <s v="Preta"/>
    <x v="18"/>
    <x v="4"/>
    <s v="Não"/>
    <n v="0"/>
  </r>
  <r>
    <n v="683"/>
    <s v="Renata Coelho Carrasco"/>
    <d v="2005-07-01T00:00:00"/>
    <x v="11"/>
    <x v="681"/>
    <s v="24230-050"/>
    <x v="47"/>
    <x v="22"/>
    <s v="2836079798"/>
    <s v="826302512043"/>
    <s v="Gabriela Cardoso Coelho"/>
    <s v="André Mata Carrasco"/>
    <s v="Branca"/>
    <x v="2"/>
    <x v="2"/>
    <s v="Sim"/>
    <n v="1"/>
  </r>
  <r>
    <n v="684"/>
    <s v="Dafne Palma Muricy"/>
    <d v="2002-03-16T00:00:00"/>
    <x v="40"/>
    <x v="682"/>
    <s v="85810-001"/>
    <x v="66"/>
    <x v="11"/>
    <s v="9992529964"/>
    <s v="478937127567"/>
    <s v="Jandira Cabral Palma"/>
    <s v="Casemiro Lago Muricy"/>
    <s v="Parda"/>
    <x v="8"/>
    <x v="0"/>
    <s v="Não"/>
    <n v="0"/>
  </r>
  <r>
    <n v="685"/>
    <s v="Emanuela Freitas Muricy"/>
    <d v="1995-11-13T00:00:00"/>
    <x v="43"/>
    <x v="683"/>
    <s v="78700-050"/>
    <x v="5"/>
    <x v="4"/>
    <s v="7656626039"/>
    <s v="225549253694"/>
    <s v="Cora Aguiar Freitas"/>
    <s v="Djalma Diniz Muricy"/>
    <s v="Parda"/>
    <x v="16"/>
    <x v="3"/>
    <s v="Sim"/>
    <n v="2"/>
  </r>
  <r>
    <n v="686"/>
    <s v="Amaro Montenegro Franco"/>
    <d v="1980-10-13T00:00:00"/>
    <x v="27"/>
    <x v="684"/>
    <s v="78117-000"/>
    <x v="85"/>
    <x v="4"/>
    <s v="4752251991"/>
    <s v="662017085149"/>
    <s v="Celina Caceres Montenegro"/>
    <s v="Jarbas Leite Franco"/>
    <s v="Branca"/>
    <x v="10"/>
    <x v="4"/>
    <s v="Não"/>
    <n v="0"/>
  </r>
  <r>
    <n v="687"/>
    <s v="Heloisa Barros Giacomini"/>
    <d v="1985-06-10T00:00:00"/>
    <x v="26"/>
    <x v="685"/>
    <s v="32600-112"/>
    <x v="79"/>
    <x v="23"/>
    <s v="6825075048"/>
    <s v="062667863652"/>
    <s v="Ione Rodrigues Barros"/>
    <s v="Eliseu Padilha Giacomini"/>
    <s v="Branca"/>
    <x v="1"/>
    <x v="1"/>
    <s v="Sim"/>
    <n v="1"/>
  </r>
  <r>
    <n v="688"/>
    <s v="Amélia Padilha Paschoal"/>
    <d v="1985-07-17T00:00:00"/>
    <x v="26"/>
    <x v="686"/>
    <s v="29100-010"/>
    <x v="92"/>
    <x v="24"/>
    <s v="7785878935"/>
    <s v="342285408590"/>
    <s v="Jacira Branco Padilha"/>
    <s v="Amaro Esteves Paschoal"/>
    <s v="Parda"/>
    <x v="9"/>
    <x v="1"/>
    <s v="Não"/>
    <n v="0"/>
  </r>
  <r>
    <n v="689"/>
    <s v="Isadora Nogueira Miranda"/>
    <d v="1988-12-24T00:00:00"/>
    <x v="37"/>
    <x v="687"/>
    <s v="77501-020"/>
    <x v="71"/>
    <x v="21"/>
    <s v="0116097297"/>
    <s v="216283156621"/>
    <s v="Eunice Baptista Nogueira"/>
    <s v="Edvaldo Moita Miranda"/>
    <s v="Branca"/>
    <x v="15"/>
    <x v="4"/>
    <s v="Sim"/>
    <n v="2"/>
  </r>
  <r>
    <n v="690"/>
    <s v="Jair Cabral Nobrega"/>
    <d v="1973-07-08T00:00:00"/>
    <x v="39"/>
    <x v="688"/>
    <s v="45654-000"/>
    <x v="22"/>
    <x v="0"/>
    <s v="1686480505"/>
    <s v="808585534444"/>
    <s v="Cordélia Costa Cabral"/>
    <s v="Gelson Novaes Nobrega"/>
    <s v="Parda"/>
    <x v="16"/>
    <x v="3"/>
    <s v="Sim"/>
    <n v="1"/>
  </r>
  <r>
    <n v="691"/>
    <s v="Gabriela Barros Pereira"/>
    <d v="2007-07-13T00:00:00"/>
    <x v="18"/>
    <x v="689"/>
    <s v="86020-080"/>
    <x v="27"/>
    <x v="11"/>
    <s v="3290467862"/>
    <s v="623582082092"/>
    <s v="Francisca Dias Barros"/>
    <s v="Charles Montenegro Pereira"/>
    <s v="Amarela"/>
    <x v="8"/>
    <x v="1"/>
    <s v="Não"/>
    <n v="0"/>
  </r>
  <r>
    <n v="692"/>
    <s v="Graziela Furquim Paixao"/>
    <d v="1974-09-04T00:00:00"/>
    <x v="0"/>
    <x v="690"/>
    <s v="88015-100"/>
    <x v="61"/>
    <x v="19"/>
    <s v="7993027482"/>
    <s v="169355393149"/>
    <s v="Alana Xavier Furquim"/>
    <s v="Edilson Coimbra Paixao"/>
    <s v="Branca"/>
    <x v="13"/>
    <x v="1"/>
    <s v="Não"/>
    <n v="0"/>
  </r>
  <r>
    <n v="693"/>
    <s v="Januario Paiva Jordao"/>
    <d v="1981-04-05T00:00:00"/>
    <x v="35"/>
    <x v="691"/>
    <s v="69100-043"/>
    <x v="20"/>
    <x v="10"/>
    <s v="8531611916"/>
    <s v="246278182061"/>
    <s v="Ana Garcez Paiva"/>
    <s v="Gabriel Geraldo Jordao"/>
    <s v="Parda"/>
    <x v="18"/>
    <x v="0"/>
    <s v="Sim"/>
    <n v="2"/>
  </r>
  <r>
    <n v="694"/>
    <s v="Glaucia Teixeira Domingues"/>
    <d v="2000-03-27T00:00:00"/>
    <x v="7"/>
    <x v="692"/>
    <s v="67013-000"/>
    <x v="23"/>
    <x v="15"/>
    <s v="2424376929"/>
    <s v="177554088985"/>
    <s v="Chantal Assuncao Teixeira"/>
    <s v="Ernesto Delgado Domingues"/>
    <s v="Parda"/>
    <x v="11"/>
    <x v="3"/>
    <s v="Sim"/>
    <n v="1"/>
  </r>
  <r>
    <n v="695"/>
    <s v="Cora Guimaraes Nobrega"/>
    <d v="1979-08-02T00:00:00"/>
    <x v="12"/>
    <x v="693"/>
    <s v="57300-040"/>
    <x v="11"/>
    <x v="9"/>
    <s v="8000874415"/>
    <s v="807240734896"/>
    <s v="Dalva Caceres Guimaraes"/>
    <s v="Jandir Girao Nobrega"/>
    <s v="Branca"/>
    <x v="11"/>
    <x v="1"/>
    <s v="Sim"/>
    <n v="2"/>
  </r>
  <r>
    <n v="696"/>
    <s v="Pedro Nogueira Martins"/>
    <d v="1980-06-16T00:00:00"/>
    <x v="27"/>
    <x v="694"/>
    <s v="86020-080"/>
    <x v="27"/>
    <x v="11"/>
    <s v="3276647785"/>
    <s v="668345225213"/>
    <s v="Arlene Marques Nogueira"/>
    <s v="Chico Jardim Martins"/>
    <s v="Preta"/>
    <x v="12"/>
    <x v="0"/>
    <s v="Não"/>
    <n v="0"/>
  </r>
  <r>
    <n v="697"/>
    <s v="Cacilda Moita Brito"/>
    <d v="1987-04-19T00:00:00"/>
    <x v="6"/>
    <x v="695"/>
    <s v="13208-056"/>
    <x v="95"/>
    <x v="12"/>
    <s v="5058471277"/>
    <s v="817671987992"/>
    <s v="Inês Monteiro Moita"/>
    <s v="Clovis Franco Brito"/>
    <s v="Branca"/>
    <x v="4"/>
    <x v="1"/>
    <s v="Sim"/>
    <n v="1"/>
  </r>
  <r>
    <n v="698"/>
    <s v="Gaston Meireles Firmeza"/>
    <d v="1966-02-18T00:00:00"/>
    <x v="28"/>
    <x v="696"/>
    <s v="96020-000"/>
    <x v="73"/>
    <x v="7"/>
    <s v="2491228604"/>
    <s v="432494137132"/>
    <s v="Eveline Paranhos Meireles"/>
    <s v="Eduardo Freitas Firmeza"/>
    <s v="Parda"/>
    <x v="0"/>
    <x v="2"/>
    <s v="Sim"/>
    <n v="1"/>
  </r>
  <r>
    <n v="699"/>
    <s v="Graça Machado Gomes"/>
    <d v="2001-05-15T00:00:00"/>
    <x v="9"/>
    <x v="697"/>
    <s v="89010-001"/>
    <x v="30"/>
    <x v="19"/>
    <s v="6059762193"/>
    <s v="387980059961"/>
    <s v="Eleonora Medeiros Machado"/>
    <s v="Thiago Silva Gomes"/>
    <s v="Branca"/>
    <x v="16"/>
    <x v="0"/>
    <s v="Não"/>
    <n v="0"/>
  </r>
  <r>
    <n v="700"/>
    <s v="Maria Carneiro Laranjeira"/>
    <d v="1975-07-27T00:00:00"/>
    <x v="15"/>
    <x v="698"/>
    <s v="69151-000"/>
    <x v="26"/>
    <x v="10"/>
    <s v="7633013758"/>
    <s v="929880605014"/>
    <s v="Ariadina Jordao Carneiro"/>
    <s v="Francisco Madureira Laranjeira"/>
    <s v="Parda"/>
    <x v="19"/>
    <x v="4"/>
    <s v="Sim"/>
    <n v="1"/>
  </r>
  <r>
    <n v="701"/>
    <s v="Igor Meireles Moura"/>
    <d v="2001-12-24T00:00:00"/>
    <x v="9"/>
    <x v="699"/>
    <s v="65900-000"/>
    <x v="35"/>
    <x v="16"/>
    <s v="9481260950"/>
    <s v="498898411018"/>
    <s v="Elisabete Monteiro Meireles"/>
    <s v="Edmar Miranda Moura"/>
    <s v="Branca"/>
    <x v="11"/>
    <x v="4"/>
    <s v="Sim"/>
    <n v="1"/>
  </r>
  <r>
    <n v="702"/>
    <s v="Elaine Meneses Lago"/>
    <d v="1997-04-19T00:00:00"/>
    <x v="4"/>
    <x v="700"/>
    <s v="77501-020"/>
    <x v="71"/>
    <x v="21"/>
    <s v="0113651635"/>
    <s v="373530615510"/>
    <s v="Isabel Goulart Meneses"/>
    <s v="Carlos Gaspar Lago"/>
    <s v="Amarela"/>
    <x v="12"/>
    <x v="4"/>
    <s v="Sim"/>
    <n v="4"/>
  </r>
  <r>
    <n v="703"/>
    <s v="Eneida Girao Moreira"/>
    <d v="1967-06-19T00:00:00"/>
    <x v="29"/>
    <x v="701"/>
    <s v="69301-000"/>
    <x v="54"/>
    <x v="8"/>
    <s v="7951216204"/>
    <s v="676532454426"/>
    <s v="Ivonete Garcez Girao"/>
    <s v="Artur Cavalcante Moreira"/>
    <s v="Branca"/>
    <x v="9"/>
    <x v="1"/>
    <s v="Sim"/>
    <n v="1"/>
  </r>
  <r>
    <n v="704"/>
    <s v="Heitor Diniz Camargo"/>
    <d v="1965-09-01T00:00:00"/>
    <x v="30"/>
    <x v="702"/>
    <s v="70340-000"/>
    <x v="28"/>
    <x v="17"/>
    <s v="1555567379"/>
    <s v="287233207097"/>
    <s v="Érika Assis Diniz"/>
    <s v="Amadeu Nascimento Camargo"/>
    <s v="Parda"/>
    <x v="3"/>
    <x v="4"/>
    <s v="Sim"/>
    <n v="3"/>
  </r>
  <r>
    <n v="705"/>
    <s v="Daniel Assuncao Franco"/>
    <d v="1995-03-08T00:00:00"/>
    <x v="43"/>
    <x v="703"/>
    <s v="86020-080"/>
    <x v="27"/>
    <x v="11"/>
    <s v="7031785997"/>
    <s v="561460547237"/>
    <s v="Renata Martins Assuncao"/>
    <s v="Fred Brito Franco"/>
    <s v="Parda"/>
    <x v="5"/>
    <x v="1"/>
    <s v="Sim"/>
    <n v="2"/>
  </r>
  <r>
    <n v="706"/>
    <s v="Juliana Cavalcante Mendes"/>
    <d v="1995-06-06T00:00:00"/>
    <x v="43"/>
    <x v="704"/>
    <s v="39400-215"/>
    <x v="108"/>
    <x v="23"/>
    <s v="3763006663"/>
    <s v="010057757712"/>
    <s v="Diná Medeiros Cavalcante"/>
    <s v="Geraldo Barreto Mendes"/>
    <s v="Parda"/>
    <x v="8"/>
    <x v="3"/>
    <s v="Não"/>
    <n v="0"/>
  </r>
  <r>
    <n v="707"/>
    <s v="Filomena Dornelles Bueno"/>
    <d v="1996-03-02T00:00:00"/>
    <x v="2"/>
    <x v="705"/>
    <s v="32600-112"/>
    <x v="79"/>
    <x v="23"/>
    <s v="3647697992"/>
    <s v="233080895755"/>
    <s v="Eulália Magalhaes Dornelles"/>
    <s v="Beto Assuncao Bueno"/>
    <s v="Parda"/>
    <x v="9"/>
    <x v="1"/>
    <s v="Não"/>
    <n v="0"/>
  </r>
  <r>
    <n v="708"/>
    <s v="Emerson Gimenez Fagundes"/>
    <d v="1989-02-22T00:00:00"/>
    <x v="36"/>
    <x v="706"/>
    <s v="57050-000"/>
    <x v="70"/>
    <x v="9"/>
    <s v="5434738777"/>
    <s v="960552653276"/>
    <s v="Anamaria Cunha Gimenez"/>
    <s v="Gelson Mello Fagundes"/>
    <s v="Amarela"/>
    <x v="10"/>
    <x v="2"/>
    <s v="Não"/>
    <n v="0"/>
  </r>
  <r>
    <n v="709"/>
    <s v="Dirce Jardim Cintra"/>
    <d v="1971-08-07T00:00:00"/>
    <x v="34"/>
    <x v="707"/>
    <s v="12245-010"/>
    <x v="45"/>
    <x v="12"/>
    <s v="1214589411"/>
    <s v="219602561775"/>
    <s v="Coralina Casagrande Jardim"/>
    <s v="Leonardo Paschoal Cintra"/>
    <s v="Branca"/>
    <x v="17"/>
    <x v="4"/>
    <s v="Sim"/>
    <n v="1"/>
  </r>
  <r>
    <n v="710"/>
    <s v="Andrea Azevedo Lucena"/>
    <d v="1978-03-01T00:00:00"/>
    <x v="3"/>
    <x v="708"/>
    <s v="49015-000"/>
    <x v="102"/>
    <x v="25"/>
    <s v="5532531230"/>
    <s v="226375779290"/>
    <s v="Anelise Pinto Azevedo"/>
    <s v="Israel Muniz Lucena"/>
    <s v="Parda"/>
    <x v="0"/>
    <x v="1"/>
    <s v="Sim"/>
    <n v="1"/>
  </r>
  <r>
    <n v="711"/>
    <s v="Eleonora Gentil Lozano"/>
    <d v="1969-10-09T00:00:00"/>
    <x v="41"/>
    <x v="709"/>
    <s v="57100-000"/>
    <x v="90"/>
    <x v="9"/>
    <s v="9835444601"/>
    <s v="237347585415"/>
    <s v="Glória Belmonte Gentil"/>
    <s v="Geremias Delgado Lozano"/>
    <s v="Branca"/>
    <x v="10"/>
    <x v="3"/>
    <s v="Não"/>
    <n v="0"/>
  </r>
  <r>
    <n v="712"/>
    <s v="Heloisa Coelho Magalhaes"/>
    <d v="1975-02-06T00:00:00"/>
    <x v="15"/>
    <x v="710"/>
    <s v="69151-000"/>
    <x v="26"/>
    <x v="10"/>
    <s v="2541631532"/>
    <s v="838062902444"/>
    <s v="Ivete Neves Coelho"/>
    <s v="Helder Cordeiro Magalhaes"/>
    <s v="Parda"/>
    <x v="3"/>
    <x v="0"/>
    <s v="Sim"/>
    <n v="3"/>
  </r>
  <r>
    <n v="713"/>
    <s v="Fernanda Paixao Guimaraes"/>
    <d v="1980-07-19T00:00:00"/>
    <x v="27"/>
    <x v="711"/>
    <s v="55012-290"/>
    <x v="17"/>
    <x v="14"/>
    <s v="1853761431"/>
    <s v="156335870908"/>
    <s v="Erica Borges Paixao"/>
    <s v="Fabiano Horta Guimaraes"/>
    <s v="Parda"/>
    <x v="2"/>
    <x v="0"/>
    <s v="Não"/>
    <n v="0"/>
  </r>
  <r>
    <n v="714"/>
    <s v="Aida Farias Lopes"/>
    <d v="2001-09-22T00:00:00"/>
    <x v="9"/>
    <x v="712"/>
    <s v="40060-001"/>
    <x v="0"/>
    <x v="0"/>
    <s v="4427925263"/>
    <s v="822553369090"/>
    <s v="Isabelle Negrao Farias"/>
    <s v="Andrei Fraga Lopes"/>
    <s v="Parda"/>
    <x v="14"/>
    <x v="4"/>
    <s v="Não"/>
    <n v="0"/>
  </r>
  <r>
    <n v="715"/>
    <s v="Dario Baptista Cunha"/>
    <d v="2008-04-23T00:00:00"/>
    <x v="13"/>
    <x v="713"/>
    <s v="32310-000"/>
    <x v="44"/>
    <x v="23"/>
    <s v="3251313449"/>
    <s v="399075155642"/>
    <s v="Eliane Carvalho Baptista"/>
    <s v="Eric Rodrigues Cunha"/>
    <s v="Parda"/>
    <x v="1"/>
    <x v="1"/>
    <s v="Não"/>
    <n v="0"/>
  </r>
  <r>
    <n v="716"/>
    <s v="Jefferson Firmeza Caldeira"/>
    <d v="1981-07-17T00:00:00"/>
    <x v="35"/>
    <x v="714"/>
    <s v="62010-290"/>
    <x v="49"/>
    <x v="18"/>
    <s v="9100523052"/>
    <s v="017574149951"/>
    <s v="Emília Gama Firmeza"/>
    <s v="Domingos Avila Caldeira"/>
    <s v="Branca"/>
    <x v="12"/>
    <x v="4"/>
    <s v="Não"/>
    <n v="0"/>
  </r>
  <r>
    <n v="717"/>
    <s v="Ana Evangelista Carrasco"/>
    <d v="1998-08-23T00:00:00"/>
    <x v="47"/>
    <x v="715"/>
    <s v="44002-048"/>
    <x v="42"/>
    <x v="0"/>
    <s v="6253018209"/>
    <s v="486016390688"/>
    <s v="Cloé Lemos Evangelista"/>
    <s v="Alexandre Soares Carrasco"/>
    <s v="Parda"/>
    <x v="3"/>
    <x v="2"/>
    <s v="Não"/>
    <n v="0"/>
  </r>
  <r>
    <n v="718"/>
    <s v="Jeferson Pereira Brito"/>
    <d v="1969-11-09T00:00:00"/>
    <x v="41"/>
    <x v="716"/>
    <s v="75901-001"/>
    <x v="8"/>
    <x v="6"/>
    <s v="9485710195"/>
    <s v="598270005555"/>
    <s v="Adriana Fagundes Pereira"/>
    <s v="Celso Nascimento Brito"/>
    <s v="Parda"/>
    <x v="7"/>
    <x v="0"/>
    <s v="Sim"/>
    <n v="3"/>
  </r>
  <r>
    <n v="719"/>
    <s v="Pedro Lozano Silva"/>
    <d v="1988-06-22T00:00:00"/>
    <x v="37"/>
    <x v="717"/>
    <s v="64001-020"/>
    <x v="7"/>
    <x v="5"/>
    <s v="4280852747"/>
    <s v="249965863458"/>
    <s v="Daiane Noronha Lozano"/>
    <s v="Cassiano Neto Silva"/>
    <s v="Parda"/>
    <x v="10"/>
    <x v="4"/>
    <s v="Não"/>
    <n v="0"/>
  </r>
  <r>
    <n v="720"/>
    <s v="Beatriz Mascarenhas Garrido"/>
    <d v="1999-02-08T00:00:00"/>
    <x v="10"/>
    <x v="718"/>
    <s v="32600-112"/>
    <x v="79"/>
    <x v="23"/>
    <s v="9495714084"/>
    <s v="283919260787"/>
    <s v="Celina Palhares Mascarenhas"/>
    <s v="Hugo Cintra Garrido"/>
    <s v="Parda"/>
    <x v="8"/>
    <x v="1"/>
    <s v="Sim"/>
    <n v="3"/>
  </r>
  <r>
    <n v="721"/>
    <s v="Ariela Moita Rodrigues"/>
    <d v="1967-06-22T00:00:00"/>
    <x v="29"/>
    <x v="719"/>
    <s v="68501-000"/>
    <x v="96"/>
    <x v="15"/>
    <s v="1260339916"/>
    <s v="599769497901"/>
    <s v="Augusta Matos Moita"/>
    <s v="Estevao Magalhaes Rodrigues"/>
    <s v="Parda"/>
    <x v="0"/>
    <x v="2"/>
    <s v="Não"/>
    <n v="0"/>
  </r>
  <r>
    <n v="722"/>
    <s v="Chico Guimaraes Lima"/>
    <d v="1986-04-07T00:00:00"/>
    <x v="45"/>
    <x v="720"/>
    <s v="61600-004"/>
    <x v="46"/>
    <x v="18"/>
    <s v="7755209459"/>
    <s v="080588981297"/>
    <s v="Cássia Mascarenhas Guimaraes"/>
    <s v="Lucas Casanova Lima"/>
    <s v="Preta"/>
    <x v="3"/>
    <x v="2"/>
    <s v="Sim"/>
    <n v="2"/>
  </r>
  <r>
    <n v="723"/>
    <s v="Debora Pereira Carneiro"/>
    <d v="1992-12-23T00:00:00"/>
    <x v="33"/>
    <x v="721"/>
    <s v="59600-005"/>
    <x v="34"/>
    <x v="1"/>
    <s v="8210917831"/>
    <s v="996942510398"/>
    <s v="Daiane Gouveia Pereira"/>
    <s v="Cristovao Coelho Carneiro"/>
    <s v="Preta"/>
    <x v="4"/>
    <x v="4"/>
    <s v="Não"/>
    <n v="0"/>
  </r>
  <r>
    <n v="724"/>
    <s v="Edilson Chaves Gaspar"/>
    <d v="1991-01-26T00:00:00"/>
    <x v="22"/>
    <x v="722"/>
    <s v="76804-015"/>
    <x v="107"/>
    <x v="26"/>
    <s v="9740995233"/>
    <s v="394002220596"/>
    <s v="Glaucia Luz Chaves"/>
    <s v="Gledson Macedo Gaspar"/>
    <s v="Parda"/>
    <x v="10"/>
    <x v="3"/>
    <s v="Sim"/>
    <n v="1"/>
  </r>
  <r>
    <n v="725"/>
    <s v="Ariela Geraldo Araujo"/>
    <d v="1961-08-19T00:00:00"/>
    <x v="1"/>
    <x v="723"/>
    <s v="61600-004"/>
    <x v="46"/>
    <x v="18"/>
    <s v="6671718317"/>
    <s v="458643030201"/>
    <s v="Amara Palma Geraldo"/>
    <s v="Daniel Paiva Araujo"/>
    <s v="Branca"/>
    <x v="14"/>
    <x v="1"/>
    <s v="Sim"/>
    <n v="1"/>
  </r>
  <r>
    <n v="726"/>
    <s v="Alice Santos Cardoso"/>
    <d v="1975-07-19T00:00:00"/>
    <x v="15"/>
    <x v="724"/>
    <s v="45654-000"/>
    <x v="22"/>
    <x v="0"/>
    <s v="3889184291"/>
    <s v="182748588889"/>
    <s v="Elena Faria Santos"/>
    <s v="Alan Guerra Cardoso"/>
    <s v="Indígena"/>
    <x v="11"/>
    <x v="2"/>
    <s v="Sim"/>
    <n v="3"/>
  </r>
  <r>
    <n v="727"/>
    <s v="Dulce Evangelista Paixao"/>
    <d v="1970-04-22T00:00:00"/>
    <x v="16"/>
    <x v="725"/>
    <s v="58800-040"/>
    <x v="97"/>
    <x v="20"/>
    <s v="1520435419"/>
    <s v="478053651772"/>
    <s v="Isabelle Carneiro Evangelista"/>
    <s v="Evandro Pacheco Paixao"/>
    <s v="Parda"/>
    <x v="16"/>
    <x v="2"/>
    <s v="Sim"/>
    <n v="2"/>
  </r>
  <r>
    <n v="728"/>
    <s v="Gerson Pamplona Marques"/>
    <d v="1987-02-24T00:00:00"/>
    <x v="6"/>
    <x v="726"/>
    <s v="68501-000"/>
    <x v="96"/>
    <x v="15"/>
    <s v="4932125802"/>
    <s v="560328092809"/>
    <s v="Dinorá Furquim Pamplona"/>
    <s v="Henrique Lago Marques"/>
    <s v="Parda"/>
    <x v="14"/>
    <x v="0"/>
    <s v="Sim"/>
    <n v="1"/>
  </r>
  <r>
    <n v="729"/>
    <s v="Emília Camargo Guerra"/>
    <d v="1991-05-05T00:00:00"/>
    <x v="22"/>
    <x v="727"/>
    <s v="39400-215"/>
    <x v="108"/>
    <x v="23"/>
    <s v="3584620350"/>
    <s v="729147030677"/>
    <s v="Isabel Coimbra Camargo"/>
    <s v="Dario Almeida Guerra"/>
    <s v="Branca"/>
    <x v="5"/>
    <x v="1"/>
    <s v="Não"/>
    <n v="0"/>
  </r>
  <r>
    <n v="730"/>
    <s v="Iolanda Guerra Braga"/>
    <d v="2001-09-21T00:00:00"/>
    <x v="9"/>
    <x v="728"/>
    <s v="76804-015"/>
    <x v="107"/>
    <x v="26"/>
    <s v="1376989576"/>
    <s v="922436766737"/>
    <s v="Mariana Assuncao Guerra"/>
    <s v="Pedro Rodrigues Braga"/>
    <s v="Preta"/>
    <x v="13"/>
    <x v="3"/>
    <s v="Sim"/>
    <n v="2"/>
  </r>
  <r>
    <n v="731"/>
    <s v="Jeferson Camacho Andrade"/>
    <d v="1987-07-17T00:00:00"/>
    <x v="6"/>
    <x v="729"/>
    <s v="68925-001"/>
    <x v="63"/>
    <x v="2"/>
    <s v="9810394691"/>
    <s v="743883823156"/>
    <s v="Ivete Igrejas Camacho"/>
    <s v="Augusto Gomes Andrade"/>
    <s v="Parda"/>
    <x v="13"/>
    <x v="1"/>
    <s v="Não"/>
    <n v="0"/>
  </r>
  <r>
    <n v="732"/>
    <s v="Jason Caceres Miranda"/>
    <d v="1981-02-24T00:00:00"/>
    <x v="35"/>
    <x v="730"/>
    <s v="74110-160"/>
    <x v="32"/>
    <x v="6"/>
    <s v="2185460241"/>
    <s v="902129190901"/>
    <s v="Carina Teixeira Caceres"/>
    <s v="Anselmo Faustino Miranda"/>
    <s v="Parda"/>
    <x v="8"/>
    <x v="2"/>
    <s v="Sim"/>
    <n v="2"/>
  </r>
  <r>
    <n v="733"/>
    <s v="Anderson Geraldo Moura"/>
    <d v="1973-05-11T00:00:00"/>
    <x v="39"/>
    <x v="731"/>
    <s v="78008-000"/>
    <x v="19"/>
    <x v="4"/>
    <s v="7486535678"/>
    <s v="722363037664"/>
    <s v="Cora Assis Geraldo"/>
    <s v="Haroldo Souza Moura"/>
    <s v="Branca"/>
    <x v="8"/>
    <x v="1"/>
    <s v="Sim"/>
    <n v="1"/>
  </r>
  <r>
    <n v="734"/>
    <s v="Cícera Lucena Gonzaga"/>
    <d v="2000-02-20T00:00:00"/>
    <x v="7"/>
    <x v="732"/>
    <s v="29100-010"/>
    <x v="92"/>
    <x v="24"/>
    <s v="7906275610"/>
    <s v="727354132256"/>
    <s v="Camila Moraes Lucena"/>
    <s v="Jayme Neto Gonzaga"/>
    <s v="Parda"/>
    <x v="17"/>
    <x v="2"/>
    <s v="Não"/>
    <n v="0"/>
  </r>
  <r>
    <n v="735"/>
    <s v="Jarbas Farias Marcondes"/>
    <d v="2002-02-15T00:00:00"/>
    <x v="40"/>
    <x v="733"/>
    <s v="79800-001"/>
    <x v="4"/>
    <x v="3"/>
    <s v="9240339313"/>
    <s v="588732833195"/>
    <s v="Guiomar Diniz Farias"/>
    <s v="Ivanilson Fraga Marcondes"/>
    <s v="Branca"/>
    <x v="4"/>
    <x v="2"/>
    <s v="Sim"/>
    <n v="3"/>
  </r>
  <r>
    <n v="736"/>
    <s v="Henrique Geraldo Ortega"/>
    <d v="1988-03-05T00:00:00"/>
    <x v="37"/>
    <x v="734"/>
    <s v="88101-001"/>
    <x v="62"/>
    <x v="19"/>
    <s v="6206468483"/>
    <s v="010294390546"/>
    <s v="Cícera Neto Geraldo"/>
    <s v="Cassio Batista Ortega"/>
    <s v="Parda"/>
    <x v="6"/>
    <x v="2"/>
    <s v="Sim"/>
    <n v="1"/>
  </r>
  <r>
    <n v="737"/>
    <s v="Fernandinho Montenegro Coelho"/>
    <d v="1981-02-16T00:00:00"/>
    <x v="35"/>
    <x v="735"/>
    <s v="89201-000"/>
    <x v="105"/>
    <x v="19"/>
    <s v="6826545264"/>
    <s v="293650900627"/>
    <s v="Fabiola Mascarenhas Montenegro"/>
    <s v="Bento Horta Coelho"/>
    <s v="Preta"/>
    <x v="16"/>
    <x v="4"/>
    <s v="Sim"/>
    <n v="1"/>
  </r>
  <r>
    <n v="738"/>
    <s v="Elisa Henriques Montenegro"/>
    <d v="2001-07-12T00:00:00"/>
    <x v="9"/>
    <x v="736"/>
    <s v="69900-001"/>
    <x v="16"/>
    <x v="13"/>
    <s v="2059842146"/>
    <s v="998794120125"/>
    <s v="Andressa Morais Henriques"/>
    <s v="Eneas Girao Montenegro"/>
    <s v="Parda"/>
    <x v="3"/>
    <x v="2"/>
    <s v="Não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D9EAB9-3BA0-4B40-B458-56CA6E3A3EEF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109" firstHeaderRow="1" firstDataRow="1" firstDataCol="1"/>
  <pivotFields count="17">
    <pivotField showAll="0"/>
    <pivotField showAll="0"/>
    <pivotField numFmtId="14" showAll="0"/>
    <pivotField multipleItemSelectionAllowed="1" showAll="0">
      <items count="49">
        <item x="13"/>
        <item x="18"/>
        <item x="19"/>
        <item x="11"/>
        <item x="17"/>
        <item x="20"/>
        <item x="40"/>
        <item x="9"/>
        <item x="7"/>
        <item x="10"/>
        <item x="47"/>
        <item x="4"/>
        <item x="2"/>
        <item x="43"/>
        <item x="24"/>
        <item x="32"/>
        <item x="33"/>
        <item x="22"/>
        <item x="42"/>
        <item x="36"/>
        <item x="37"/>
        <item x="6"/>
        <item x="45"/>
        <item x="26"/>
        <item x="23"/>
        <item x="46"/>
        <item x="44"/>
        <item x="35"/>
        <item x="27"/>
        <item x="12"/>
        <item x="3"/>
        <item x="5"/>
        <item x="31"/>
        <item x="15"/>
        <item x="0"/>
        <item x="39"/>
        <item x="21"/>
        <item x="34"/>
        <item x="16"/>
        <item x="41"/>
        <item x="14"/>
        <item x="29"/>
        <item x="28"/>
        <item x="30"/>
        <item x="8"/>
        <item x="38"/>
        <item x="25"/>
        <item x="1"/>
        <item t="default"/>
      </items>
    </pivotField>
    <pivotField multipleItemSelectionAllowed="1" showAll="0">
      <items count="738">
        <item x="564"/>
        <item x="587"/>
        <item x="257"/>
        <item x="79"/>
        <item x="428"/>
        <item x="511"/>
        <item x="323"/>
        <item x="549"/>
        <item x="497"/>
        <item x="21"/>
        <item x="530"/>
        <item x="411"/>
        <item x="283"/>
        <item x="142"/>
        <item x="711"/>
        <item x="245"/>
        <item x="263"/>
        <item x="204"/>
        <item x="545"/>
        <item x="721"/>
        <item x="382"/>
        <item x="355"/>
        <item x="656"/>
        <item x="41"/>
        <item x="155"/>
        <item x="302"/>
        <item x="90"/>
        <item x="425"/>
        <item x="422"/>
        <item x="179"/>
        <item x="325"/>
        <item x="255"/>
        <item x="482"/>
        <item x="226"/>
        <item x="435"/>
        <item x="417"/>
        <item x="83"/>
        <item x="324"/>
        <item x="207"/>
        <item x="556"/>
        <item x="309"/>
        <item x="675"/>
        <item x="133"/>
        <item x="51"/>
        <item x="377"/>
        <item x="285"/>
        <item x="617"/>
        <item x="373"/>
        <item x="322"/>
        <item x="385"/>
        <item x="618"/>
        <item x="242"/>
        <item x="683"/>
        <item x="655"/>
        <item x="346"/>
        <item x="293"/>
        <item x="131"/>
        <item x="197"/>
        <item x="30"/>
        <item x="534"/>
        <item x="5"/>
        <item x="87"/>
        <item x="698"/>
        <item x="609"/>
        <item x="444"/>
        <item x="668"/>
        <item x="710"/>
        <item x="672"/>
        <item x="247"/>
        <item x="391"/>
        <item x="230"/>
        <item x="74"/>
        <item x="211"/>
        <item x="140"/>
        <item x="22"/>
        <item x="234"/>
        <item x="209"/>
        <item x="208"/>
        <item x="59"/>
        <item x="650"/>
        <item x="316"/>
        <item x="195"/>
        <item x="506"/>
        <item x="175"/>
        <item x="484"/>
        <item x="555"/>
        <item x="339"/>
        <item x="490"/>
        <item x="597"/>
        <item x="576"/>
        <item x="501"/>
        <item x="236"/>
        <item x="390"/>
        <item x="451"/>
        <item x="665"/>
        <item x="547"/>
        <item x="552"/>
        <item x="708"/>
        <item x="295"/>
        <item x="200"/>
        <item x="284"/>
        <item x="418"/>
        <item x="315"/>
        <item x="294"/>
        <item x="432"/>
        <item x="592"/>
        <item x="397"/>
        <item x="637"/>
        <item x="671"/>
        <item x="248"/>
        <item x="408"/>
        <item x="553"/>
        <item x="436"/>
        <item x="158"/>
        <item x="454"/>
        <item x="241"/>
        <item x="98"/>
        <item x="119"/>
        <item x="445"/>
        <item x="18"/>
        <item x="603"/>
        <item x="559"/>
        <item x="394"/>
        <item x="517"/>
        <item x="630"/>
        <item x="533"/>
        <item x="141"/>
        <item x="153"/>
        <item x="249"/>
        <item x="682"/>
        <item x="521"/>
        <item x="598"/>
        <item x="15"/>
        <item x="318"/>
        <item x="527"/>
        <item x="477"/>
        <item x="447"/>
        <item x="66"/>
        <item x="639"/>
        <item x="176"/>
        <item x="384"/>
        <item x="220"/>
        <item x="420"/>
        <item x="606"/>
        <item x="58"/>
        <item x="42"/>
        <item x="6"/>
        <item x="526"/>
        <item x="171"/>
        <item x="235"/>
        <item x="217"/>
        <item x="646"/>
        <item x="570"/>
        <item x="156"/>
        <item x="629"/>
        <item x="565"/>
        <item x="177"/>
        <item x="396"/>
        <item x="645"/>
        <item x="628"/>
        <item x="132"/>
        <item x="480"/>
        <item x="594"/>
        <item x="250"/>
        <item x="583"/>
        <item x="227"/>
        <item x="528"/>
        <item x="254"/>
        <item x="571"/>
        <item x="600"/>
        <item x="129"/>
        <item x="433"/>
        <item x="130"/>
        <item x="44"/>
        <item x="470"/>
        <item x="72"/>
        <item x="584"/>
        <item x="123"/>
        <item x="641"/>
        <item x="380"/>
        <item x="736"/>
        <item x="624"/>
        <item x="205"/>
        <item x="281"/>
        <item x="19"/>
        <item x="525"/>
        <item x="154"/>
        <item x="106"/>
        <item x="170"/>
        <item x="288"/>
        <item x="291"/>
        <item x="107"/>
        <item x="535"/>
        <item x="126"/>
        <item x="568"/>
        <item x="157"/>
        <item x="644"/>
        <item x="505"/>
        <item x="687"/>
        <item x="700"/>
        <item x="213"/>
        <item x="183"/>
        <item x="383"/>
        <item x="114"/>
        <item x="582"/>
        <item x="13"/>
        <item x="331"/>
        <item x="352"/>
        <item x="332"/>
        <item x="407"/>
        <item x="110"/>
        <item x="244"/>
        <item x="194"/>
        <item x="608"/>
        <item x="398"/>
        <item x="543"/>
        <item x="440"/>
        <item x="69"/>
        <item x="415"/>
        <item x="203"/>
        <item x="335"/>
        <item x="498"/>
        <item x="636"/>
        <item x="658"/>
        <item x="561"/>
        <item x="122"/>
        <item x="405"/>
        <item x="635"/>
        <item x="67"/>
        <item x="222"/>
        <item x="345"/>
        <item x="276"/>
        <item x="29"/>
        <item x="367"/>
        <item x="381"/>
        <item x="676"/>
        <item x="704"/>
        <item x="727"/>
        <item x="465"/>
        <item x="64"/>
        <item x="186"/>
        <item x="569"/>
        <item x="193"/>
        <item x="520"/>
        <item x="714"/>
        <item x="224"/>
        <item x="362"/>
        <item x="502"/>
        <item x="172"/>
        <item x="450"/>
        <item x="168"/>
        <item x="251"/>
        <item x="259"/>
        <item x="320"/>
        <item x="188"/>
        <item x="516"/>
        <item x="56"/>
        <item x="707"/>
        <item x="554"/>
        <item x="458"/>
        <item x="163"/>
        <item x="503"/>
        <item x="86"/>
        <item x="10"/>
        <item x="720"/>
        <item x="723"/>
        <item x="485"/>
        <item x="104"/>
        <item x="277"/>
        <item x="60"/>
        <item x="347"/>
        <item x="216"/>
        <item x="499"/>
        <item x="38"/>
        <item x="330"/>
        <item x="602"/>
        <item x="356"/>
        <item x="363"/>
        <item x="392"/>
        <item x="376"/>
        <item x="631"/>
        <item x="446"/>
        <item x="493"/>
        <item x="329"/>
        <item x="262"/>
        <item x="336"/>
        <item x="684"/>
        <item x="173"/>
        <item x="519"/>
        <item x="333"/>
        <item x="118"/>
        <item x="680"/>
        <item x="593"/>
        <item x="706"/>
        <item x="575"/>
        <item x="112"/>
        <item x="303"/>
        <item x="379"/>
        <item x="426"/>
        <item x="210"/>
        <item x="357"/>
        <item x="709"/>
        <item x="489"/>
        <item x="231"/>
        <item x="272"/>
        <item x="14"/>
        <item x="666"/>
        <item x="589"/>
        <item x="717"/>
        <item x="349"/>
        <item x="256"/>
        <item x="7"/>
        <item x="187"/>
        <item x="430"/>
        <item x="229"/>
        <item x="616"/>
        <item x="212"/>
        <item x="147"/>
        <item x="127"/>
        <item x="298"/>
        <item x="266"/>
        <item x="43"/>
        <item x="238"/>
        <item x="215"/>
        <item x="699"/>
        <item x="328"/>
        <item x="421"/>
        <item x="278"/>
        <item x="399"/>
        <item x="481"/>
        <item x="306"/>
        <item x="622"/>
        <item x="674"/>
        <item x="620"/>
        <item x="46"/>
        <item x="491"/>
        <item x="137"/>
        <item x="152"/>
        <item x="312"/>
        <item x="17"/>
        <item x="551"/>
        <item x="546"/>
        <item x="343"/>
        <item x="93"/>
        <item x="364"/>
        <item x="166"/>
        <item x="319"/>
        <item x="273"/>
        <item x="243"/>
        <item x="351"/>
        <item x="453"/>
        <item x="99"/>
        <item x="146"/>
        <item x="663"/>
        <item x="510"/>
        <item x="479"/>
        <item x="68"/>
        <item x="463"/>
        <item x="718"/>
        <item x="337"/>
        <item x="441"/>
        <item x="577"/>
        <item x="625"/>
        <item x="361"/>
        <item x="539"/>
        <item x="685"/>
        <item x="705"/>
        <item x="599"/>
        <item x="151"/>
        <item x="472"/>
        <item x="515"/>
        <item x="190"/>
        <item x="567"/>
        <item x="560"/>
        <item x="25"/>
        <item x="299"/>
        <item x="100"/>
        <item x="478"/>
        <item x="71"/>
        <item x="223"/>
        <item x="9"/>
        <item x="581"/>
        <item x="308"/>
        <item x="290"/>
        <item x="260"/>
        <item x="101"/>
        <item x="1"/>
        <item x="91"/>
        <item x="429"/>
        <item x="694"/>
        <item x="473"/>
        <item x="689"/>
        <item x="31"/>
        <item x="296"/>
        <item x="703"/>
        <item x="34"/>
        <item x="341"/>
        <item x="615"/>
        <item x="23"/>
        <item x="313"/>
        <item x="649"/>
        <item x="731"/>
        <item x="214"/>
        <item x="544"/>
        <item x="443"/>
        <item x="460"/>
        <item x="314"/>
        <item x="661"/>
        <item x="476"/>
        <item x="359"/>
        <item x="651"/>
        <item x="113"/>
        <item x="334"/>
        <item x="509"/>
        <item x="75"/>
        <item x="350"/>
        <item x="514"/>
        <item x="348"/>
        <item x="375"/>
        <item x="289"/>
        <item x="562"/>
        <item x="442"/>
        <item x="73"/>
        <item x="192"/>
        <item x="174"/>
        <item x="643"/>
        <item x="585"/>
        <item x="648"/>
        <item x="732"/>
        <item x="228"/>
        <item x="269"/>
        <item x="686"/>
        <item x="654"/>
        <item x="414"/>
        <item x="713"/>
        <item x="437"/>
        <item x="139"/>
        <item x="55"/>
        <item x="182"/>
        <item x="496"/>
        <item x="722"/>
        <item x="574"/>
        <item x="513"/>
        <item x="728"/>
        <item x="474"/>
        <item x="588"/>
        <item x="670"/>
        <item x="572"/>
        <item x="403"/>
        <item x="558"/>
        <item x="327"/>
        <item x="419"/>
        <item x="275"/>
        <item x="370"/>
        <item x="3"/>
        <item x="372"/>
        <item x="613"/>
        <item x="365"/>
        <item x="252"/>
        <item x="413"/>
        <item x="638"/>
        <item x="292"/>
        <item x="586"/>
        <item x="389"/>
        <item x="673"/>
        <item x="63"/>
        <item x="109"/>
        <item x="300"/>
        <item x="111"/>
        <item x="148"/>
        <item x="595"/>
        <item x="504"/>
        <item x="733"/>
        <item x="4"/>
        <item x="45"/>
        <item x="619"/>
        <item x="611"/>
        <item x="466"/>
        <item x="28"/>
        <item x="596"/>
        <item x="340"/>
        <item x="237"/>
        <item x="695"/>
        <item x="653"/>
        <item x="652"/>
        <item x="633"/>
        <item x="522"/>
        <item x="307"/>
        <item x="88"/>
        <item x="691"/>
        <item x="500"/>
        <item x="512"/>
        <item x="77"/>
        <item x="24"/>
        <item x="143"/>
        <item x="438"/>
        <item x="368"/>
        <item x="538"/>
        <item x="201"/>
        <item x="448"/>
        <item x="280"/>
        <item x="16"/>
        <item x="268"/>
        <item x="20"/>
        <item x="271"/>
        <item x="167"/>
        <item x="287"/>
        <item x="125"/>
        <item x="557"/>
        <item x="92"/>
        <item x="662"/>
        <item x="221"/>
        <item x="468"/>
        <item x="149"/>
        <item x="459"/>
        <item x="117"/>
        <item x="40"/>
        <item x="487"/>
        <item x="128"/>
        <item x="369"/>
        <item x="464"/>
        <item x="452"/>
        <item x="471"/>
        <item x="542"/>
        <item x="115"/>
        <item x="85"/>
        <item x="475"/>
        <item x="531"/>
        <item x="402"/>
        <item x="573"/>
        <item x="734"/>
        <item x="659"/>
        <item x="371"/>
        <item x="120"/>
        <item x="161"/>
        <item x="716"/>
        <item x="8"/>
        <item x="563"/>
        <item x="196"/>
        <item x="191"/>
        <item x="184"/>
        <item x="388"/>
        <item x="439"/>
        <item x="427"/>
        <item x="536"/>
        <item x="580"/>
        <item x="566"/>
        <item x="730"/>
        <item x="326"/>
        <item x="457"/>
        <item x="39"/>
        <item x="404"/>
        <item x="387"/>
        <item x="409"/>
        <item x="410"/>
        <item x="469"/>
        <item x="678"/>
        <item x="537"/>
        <item x="102"/>
        <item x="548"/>
        <item x="135"/>
        <item x="423"/>
        <item x="729"/>
        <item x="94"/>
        <item x="353"/>
        <item x="647"/>
        <item x="386"/>
        <item x="550"/>
        <item x="89"/>
        <item x="483"/>
        <item x="406"/>
        <item x="416"/>
        <item x="667"/>
        <item x="578"/>
        <item x="374"/>
        <item x="52"/>
        <item x="232"/>
        <item x="492"/>
        <item x="282"/>
        <item x="507"/>
        <item x="80"/>
        <item x="145"/>
        <item x="246"/>
        <item x="715"/>
        <item x="78"/>
        <item x="623"/>
        <item x="53"/>
        <item x="679"/>
        <item x="189"/>
        <item x="366"/>
        <item x="401"/>
        <item x="54"/>
        <item x="657"/>
        <item x="297"/>
        <item x="461"/>
        <item x="279"/>
        <item x="412"/>
        <item x="301"/>
        <item x="26"/>
        <item x="688"/>
        <item x="724"/>
        <item x="311"/>
        <item x="518"/>
        <item x="456"/>
        <item x="360"/>
        <item x="358"/>
        <item x="627"/>
        <item x="264"/>
        <item x="96"/>
        <item x="150"/>
        <item x="199"/>
        <item x="81"/>
        <item x="640"/>
        <item x="261"/>
        <item x="579"/>
        <item x="590"/>
        <item x="70"/>
        <item x="701"/>
        <item x="607"/>
        <item x="317"/>
        <item x="178"/>
        <item x="225"/>
        <item x="508"/>
        <item x="270"/>
        <item x="354"/>
        <item x="529"/>
        <item x="632"/>
        <item x="239"/>
        <item x="719"/>
        <item x="265"/>
        <item x="726"/>
        <item h="1" x="610"/>
        <item h="1" x="37"/>
        <item h="1" x="601"/>
        <item h="1" x="693"/>
        <item h="1" x="202"/>
        <item h="1" x="33"/>
        <item h="1" x="12"/>
        <item h="1" x="138"/>
        <item h="1" x="642"/>
        <item h="1" x="286"/>
        <item h="1" x="108"/>
        <item h="1" x="540"/>
        <item h="1" x="76"/>
        <item h="1" x="103"/>
        <item h="1" x="692"/>
        <item h="1" x="198"/>
        <item h="1" x="240"/>
        <item h="1" x="27"/>
        <item h="1" x="57"/>
        <item h="1" x="253"/>
        <item h="1" x="614"/>
        <item h="1" x="725"/>
        <item h="1" x="664"/>
        <item h="1" x="304"/>
        <item h="1" x="165"/>
        <item h="1" x="84"/>
        <item h="1" x="449"/>
        <item h="1" x="136"/>
        <item h="1" x="95"/>
        <item h="1" x="690"/>
        <item h="1" x="424"/>
        <item h="1" x="677"/>
        <item h="1" x="393"/>
        <item h="1" x="434"/>
        <item h="1" x="47"/>
        <item h="1" x="462"/>
        <item h="1" x="82"/>
        <item h="1" x="65"/>
        <item h="1" x="164"/>
        <item h="1" x="267"/>
        <item h="1" x="48"/>
        <item h="1" x="185"/>
        <item h="1" x="431"/>
        <item h="1" x="696"/>
        <item h="1" x="134"/>
        <item h="1" x="626"/>
        <item h="1" x="124"/>
        <item h="1" x="218"/>
        <item h="1" x="258"/>
        <item h="1" x="61"/>
        <item h="1" x="681"/>
        <item h="1" x="344"/>
        <item h="1" x="634"/>
        <item h="1" x="305"/>
        <item h="1" x="219"/>
        <item h="1" x="162"/>
        <item h="1" x="612"/>
        <item h="1" x="486"/>
        <item h="1" x="735"/>
        <item h="1" x="378"/>
        <item h="1" x="342"/>
        <item h="1" x="488"/>
        <item h="1" x="321"/>
        <item h="1" x="35"/>
        <item h="1" x="494"/>
        <item h="1" x="338"/>
        <item h="1" x="50"/>
        <item h="1" x="97"/>
        <item h="1" x="0"/>
        <item h="1" x="669"/>
        <item h="1" x="660"/>
        <item h="1" x="400"/>
        <item h="1" x="395"/>
        <item h="1" x="532"/>
        <item h="1" x="524"/>
        <item h="1" x="181"/>
        <item h="1" x="712"/>
        <item h="1" x="116"/>
        <item h="1" x="2"/>
        <item h="1" x="523"/>
        <item h="1" x="621"/>
        <item h="1" x="591"/>
        <item h="1" x="11"/>
        <item h="1" x="144"/>
        <item h="1" x="159"/>
        <item h="1" x="121"/>
        <item h="1" x="541"/>
        <item h="1" x="697"/>
        <item h="1" x="180"/>
        <item h="1" x="49"/>
        <item h="1" x="36"/>
        <item h="1" x="206"/>
        <item h="1" x="233"/>
        <item h="1" x="32"/>
        <item h="1" x="604"/>
        <item h="1" x="169"/>
        <item h="1" x="455"/>
        <item h="1" x="467"/>
        <item h="1" x="605"/>
        <item h="1" x="310"/>
        <item h="1" x="62"/>
        <item h="1" x="495"/>
        <item h="1" x="160"/>
        <item h="1" x="702"/>
        <item h="1" x="105"/>
        <item h="1" x="274"/>
        <item t="default"/>
      </items>
    </pivotField>
    <pivotField showAll="0"/>
    <pivotField multipleItemSelectionAllowed="1" showAll="0" maxSubtotal="1">
      <items count="110">
        <item x="23"/>
        <item x="15"/>
        <item x="103"/>
        <item x="102"/>
        <item x="71"/>
        <item x="11"/>
        <item x="75"/>
        <item x="83"/>
        <item x="39"/>
        <item x="79"/>
        <item x="30"/>
        <item x="54"/>
        <item x="28"/>
        <item x="72"/>
        <item x="88"/>
        <item x="76"/>
        <item x="93"/>
        <item x="58"/>
        <item x="60"/>
        <item x="9"/>
        <item x="80"/>
        <item x="17"/>
        <item x="66"/>
        <item x="46"/>
        <item x="24"/>
        <item x="99"/>
        <item x="44"/>
        <item x="53"/>
        <item x="19"/>
        <item x="43"/>
        <item x="4"/>
        <item x="52"/>
        <item x="42"/>
        <item x="6"/>
        <item x="61"/>
        <item x="106"/>
        <item x="77"/>
        <item x="32"/>
        <item x="84"/>
        <item x="37"/>
        <item x="22"/>
        <item x="35"/>
        <item x="20"/>
        <item x="89"/>
        <item x="81"/>
        <item x="100"/>
        <item x="105"/>
        <item x="29"/>
        <item x="94"/>
        <item x="95"/>
        <item x="2"/>
        <item x="27"/>
        <item x="40"/>
        <item x="104"/>
        <item x="70"/>
        <item x="12"/>
        <item x="96"/>
        <item x="57"/>
        <item x="13"/>
        <item x="108"/>
        <item x="34"/>
        <item x="1"/>
        <item x="47"/>
        <item x="69"/>
        <item x="78"/>
        <item x="65"/>
        <item x="26"/>
        <item x="41"/>
        <item x="50"/>
        <item x="31"/>
        <item x="73"/>
        <item x="21"/>
        <item x="38"/>
        <item x="74"/>
        <item x="59"/>
        <item x="48"/>
        <item x="107"/>
        <item x="36"/>
        <item x="86"/>
        <item x="16"/>
        <item x="87"/>
        <item x="90"/>
        <item x="8"/>
        <item x="5"/>
        <item x="10"/>
        <item x="0"/>
        <item x="82"/>
        <item x="63"/>
        <item x="67"/>
        <item x="56"/>
        <item x="91"/>
        <item x="62"/>
        <item x="45"/>
        <item x="55"/>
        <item x="14"/>
        <item x="68"/>
        <item x="25"/>
        <item x="49"/>
        <item x="101"/>
        <item x="97"/>
        <item x="7"/>
        <item x="33"/>
        <item x="18"/>
        <item x="98"/>
        <item x="85"/>
        <item x="92"/>
        <item x="51"/>
        <item x="3"/>
        <item x="64"/>
        <item t="max"/>
      </items>
    </pivotField>
    <pivotField showAll="0">
      <items count="28">
        <item h="1" x="13"/>
        <item x="9"/>
        <item h="1" x="10"/>
        <item h="1" x="2"/>
        <item x="0"/>
        <item x="18"/>
        <item h="1" x="17"/>
        <item h="1" x="24"/>
        <item h="1" x="6"/>
        <item x="16"/>
        <item h="1" x="23"/>
        <item h="1" x="3"/>
        <item h="1" x="4"/>
        <item h="1" x="15"/>
        <item x="20"/>
        <item x="14"/>
        <item x="5"/>
        <item h="1" x="11"/>
        <item h="1" x="22"/>
        <item x="1"/>
        <item h="1" x="26"/>
        <item h="1" x="8"/>
        <item h="1" x="7"/>
        <item h="1" x="19"/>
        <item x="25"/>
        <item h="1" x="12"/>
        <item h="1" x="21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21">
        <item x="0"/>
        <item x="18"/>
        <item x="14"/>
        <item x="15"/>
        <item x="8"/>
        <item x="12"/>
        <item x="5"/>
        <item x="9"/>
        <item x="19"/>
        <item x="2"/>
        <item x="10"/>
        <item x="1"/>
        <item x="11"/>
        <item x="7"/>
        <item x="6"/>
        <item x="16"/>
        <item x="3"/>
        <item x="17"/>
        <item x="13"/>
        <item x="4"/>
        <item t="default"/>
      </items>
    </pivotField>
    <pivotField axis="axisRow" showAll="0">
      <items count="6">
        <item x="3"/>
        <item x="0"/>
        <item x="2"/>
        <item x="1"/>
        <item x="4"/>
        <item t="default"/>
      </items>
    </pivotField>
    <pivotField showAll="0"/>
    <pivotField showAll="0"/>
  </pivotFields>
  <rowFields count="2">
    <field x="14"/>
    <field x="13"/>
  </rowFields>
  <rowItems count="10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dataFields count="1">
    <dataField name="Contagem de Profissão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D9A20-84D8-4603-91BF-8418E4FBBFC8}" name="Tabela1" displayName="Tabela1" ref="A1:Q739" totalsRowShown="0">
  <autoFilter ref="A1:Q739" xr:uid="{213D9A20-84D8-4603-91BF-8418E4FBBFC8}"/>
  <sortState xmlns:xlrd2="http://schemas.microsoft.com/office/spreadsheetml/2017/richdata2" ref="A2:Q739">
    <sortCondition ref="A1:A739"/>
  </sortState>
  <tableColumns count="17">
    <tableColumn id="1" xr3:uid="{7A680D29-4B21-4306-8637-D160F8587677}" name="ID"/>
    <tableColumn id="2" xr3:uid="{A0C4A854-98FC-41A5-A771-D219186D4568}" name="Nome Completo"/>
    <tableColumn id="3" xr3:uid="{88B46693-0B6F-4322-802F-710660BAAC9A}" name="Data Nasc." dataDxfId="3"/>
    <tableColumn id="4" xr3:uid="{A9D8AE94-080F-488B-914A-6CE91A0ADAE5}" name="Idade"/>
    <tableColumn id="5" xr3:uid="{EF5DEB3B-1B34-4811-8775-9DC7C146685C}" name="Endereço"/>
    <tableColumn id="6" xr3:uid="{19DFCADD-EC95-4D9A-8E51-5AAE5D5DB770}" name="CEP" dataDxfId="2"/>
    <tableColumn id="7" xr3:uid="{016F466F-7A83-4BC5-ADE6-B7C6A78346E5}" name="Município"/>
    <tableColumn id="8" xr3:uid="{3CBB1446-EA55-4C72-97A8-085C3546426A}" name="UF"/>
    <tableColumn id="9" xr3:uid="{BA0B90D8-F78A-4A07-AA59-DB75534CF4A5}" name="RG" dataDxfId="1"/>
    <tableColumn id="10" xr3:uid="{D9D4546B-8FD3-496E-A734-4C2463C06643}" name="CPF" dataDxfId="0"/>
    <tableColumn id="11" xr3:uid="{3C25B48D-8062-450E-9E12-FC9EA55CFA68}" name="Nome da Mãe"/>
    <tableColumn id="12" xr3:uid="{74D29446-147C-42DC-94FC-EC7761B9ADEC}" name="Nome do Pai"/>
    <tableColumn id="13" xr3:uid="{CC846678-41C7-4903-9462-D2B2CE2511AE}" name="Etnia"/>
    <tableColumn id="14" xr3:uid="{72F8C896-29B7-4E58-9882-03F1FE3BE92F}" name="Profissão"/>
    <tableColumn id="15" xr3:uid="{9F863FB2-8F59-43DB-86AC-DF8AE986EF2F}" name="Estado Civil"/>
    <tableColumn id="16" xr3:uid="{C57EA6B8-758F-424C-80AD-4A7F337C97C7}" name="Possui Filhos?"/>
    <tableColumn id="17" xr3:uid="{18CC1FCB-3868-4BC5-92E4-6DC3479A1634}" name="Qtd Filh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266E9-6986-42B7-9AEF-79A9B605CF52}">
  <dimension ref="A3:E109"/>
  <sheetViews>
    <sheetView workbookViewId="0">
      <selection activeCell="D18" sqref="D18:E18"/>
    </sheetView>
  </sheetViews>
  <sheetFormatPr defaultRowHeight="15" x14ac:dyDescent="0.25"/>
  <cols>
    <col min="1" max="1" width="23.140625" bestFit="1" customWidth="1"/>
    <col min="2" max="2" width="21.7109375" bestFit="1" customWidth="1"/>
    <col min="3" max="3" width="4" bestFit="1" customWidth="1"/>
    <col min="4" max="4" width="27.85546875" customWidth="1"/>
    <col min="5" max="5" width="67.28515625" customWidth="1"/>
    <col min="6" max="32" width="4" bestFit="1" customWidth="1"/>
    <col min="33" max="33" width="5" bestFit="1" customWidth="1"/>
    <col min="34" max="36" width="4" bestFit="1" customWidth="1"/>
    <col min="37" max="37" width="5" bestFit="1" customWidth="1"/>
    <col min="38" max="45" width="4" bestFit="1" customWidth="1"/>
    <col min="46" max="46" width="5" bestFit="1" customWidth="1"/>
    <col min="47" max="48" width="4" bestFit="1" customWidth="1"/>
    <col min="49" max="49" width="5" bestFit="1" customWidth="1"/>
    <col min="50" max="50" width="10.7109375" bestFit="1" customWidth="1"/>
  </cols>
  <sheetData>
    <row r="3" spans="1:5" x14ac:dyDescent="0.25">
      <c r="A3" s="3" t="s">
        <v>4723</v>
      </c>
      <c r="B3" t="s">
        <v>4726</v>
      </c>
    </row>
    <row r="4" spans="1:5" x14ac:dyDescent="0.25">
      <c r="A4" s="7" t="s">
        <v>22</v>
      </c>
      <c r="B4" s="4">
        <v>147</v>
      </c>
    </row>
    <row r="5" spans="1:5" x14ac:dyDescent="0.25">
      <c r="A5" s="8" t="s">
        <v>99</v>
      </c>
      <c r="B5" s="4">
        <v>9</v>
      </c>
    </row>
    <row r="6" spans="1:5" x14ac:dyDescent="0.25">
      <c r="A6" s="8" t="s">
        <v>44</v>
      </c>
      <c r="B6" s="4">
        <v>6</v>
      </c>
    </row>
    <row r="7" spans="1:5" x14ac:dyDescent="0.25">
      <c r="A7" s="8" t="s">
        <v>58</v>
      </c>
      <c r="B7" s="4">
        <v>4</v>
      </c>
    </row>
    <row r="8" spans="1:5" x14ac:dyDescent="0.25">
      <c r="A8" s="8" t="s">
        <v>150</v>
      </c>
      <c r="B8" s="4">
        <v>7</v>
      </c>
    </row>
    <row r="9" spans="1:5" x14ac:dyDescent="0.25">
      <c r="A9" s="8" t="s">
        <v>54</v>
      </c>
      <c r="B9" s="4">
        <v>8</v>
      </c>
    </row>
    <row r="10" spans="1:5" x14ac:dyDescent="0.25">
      <c r="A10" s="8" t="s">
        <v>34</v>
      </c>
      <c r="B10" s="4">
        <v>4</v>
      </c>
    </row>
    <row r="11" spans="1:5" x14ac:dyDescent="0.25">
      <c r="A11" s="8" t="s">
        <v>82</v>
      </c>
      <c r="B11" s="4">
        <v>4</v>
      </c>
      <c r="D11" s="5" t="s">
        <v>4722</v>
      </c>
      <c r="E11" s="6" t="s">
        <v>4721</v>
      </c>
    </row>
    <row r="12" spans="1:5" x14ac:dyDescent="0.25">
      <c r="A12" s="8" t="s">
        <v>39</v>
      </c>
      <c r="B12" s="4">
        <v>9</v>
      </c>
      <c r="D12" s="6">
        <v>1</v>
      </c>
      <c r="E12" s="6">
        <v>37</v>
      </c>
    </row>
    <row r="13" spans="1:5" x14ac:dyDescent="0.25">
      <c r="A13" s="8" t="s">
        <v>28</v>
      </c>
      <c r="B13" s="4">
        <v>2</v>
      </c>
      <c r="D13" s="6">
        <v>2</v>
      </c>
      <c r="E13" s="6" t="s">
        <v>4725</v>
      </c>
    </row>
    <row r="14" spans="1:5" x14ac:dyDescent="0.25">
      <c r="A14" s="8" t="s">
        <v>212</v>
      </c>
      <c r="B14" s="4">
        <v>12</v>
      </c>
      <c r="D14" s="6">
        <v>3</v>
      </c>
      <c r="E14" s="6">
        <v>233</v>
      </c>
    </row>
    <row r="15" spans="1:5" x14ac:dyDescent="0.25">
      <c r="A15" s="8" t="s">
        <v>72</v>
      </c>
      <c r="B15" s="4">
        <v>7</v>
      </c>
      <c r="D15" s="6">
        <v>4</v>
      </c>
      <c r="E15" s="6">
        <v>632</v>
      </c>
    </row>
    <row r="16" spans="1:5" x14ac:dyDescent="0.25">
      <c r="A16" s="8" t="s">
        <v>21</v>
      </c>
      <c r="B16" s="4">
        <v>10</v>
      </c>
      <c r="D16" s="6">
        <v>5</v>
      </c>
      <c r="E16" s="6">
        <v>41.2</v>
      </c>
    </row>
    <row r="17" spans="1:5" x14ac:dyDescent="0.25">
      <c r="A17" s="8" t="s">
        <v>67</v>
      </c>
      <c r="B17" s="4">
        <v>6</v>
      </c>
      <c r="D17" s="6">
        <v>6</v>
      </c>
      <c r="E17" s="6">
        <v>15</v>
      </c>
    </row>
    <row r="18" spans="1:5" x14ac:dyDescent="0.25">
      <c r="A18" s="8" t="s">
        <v>193</v>
      </c>
      <c r="B18" s="4">
        <v>9</v>
      </c>
      <c r="D18" s="6">
        <v>7</v>
      </c>
      <c r="E18" s="6">
        <v>218</v>
      </c>
    </row>
    <row r="19" spans="1:5" x14ac:dyDescent="0.25">
      <c r="A19" s="8" t="s">
        <v>78</v>
      </c>
      <c r="B19" s="4">
        <v>9</v>
      </c>
      <c r="D19" s="6">
        <v>8</v>
      </c>
      <c r="E19" s="6">
        <v>10</v>
      </c>
    </row>
    <row r="20" spans="1:5" x14ac:dyDescent="0.25">
      <c r="A20" s="8" t="s">
        <v>106</v>
      </c>
      <c r="B20" s="4">
        <v>9</v>
      </c>
      <c r="D20" s="6">
        <v>9</v>
      </c>
      <c r="E20" s="6">
        <v>147</v>
      </c>
    </row>
    <row r="21" spans="1:5" x14ac:dyDescent="0.25">
      <c r="A21" s="8" t="s">
        <v>49</v>
      </c>
      <c r="B21" s="4">
        <v>14</v>
      </c>
      <c r="D21" s="6">
        <v>10</v>
      </c>
      <c r="E21" s="6">
        <v>12</v>
      </c>
    </row>
    <row r="22" spans="1:5" x14ac:dyDescent="0.25">
      <c r="A22" s="8" t="s">
        <v>66</v>
      </c>
      <c r="B22" s="4">
        <v>5</v>
      </c>
      <c r="D22" s="6">
        <v>11</v>
      </c>
      <c r="E22" s="6">
        <v>40</v>
      </c>
    </row>
    <row r="23" spans="1:5" x14ac:dyDescent="0.25">
      <c r="A23" s="8" t="s">
        <v>114</v>
      </c>
      <c r="B23" s="4">
        <v>5</v>
      </c>
      <c r="D23" s="6">
        <v>12</v>
      </c>
      <c r="E23" s="6" t="s">
        <v>4727</v>
      </c>
    </row>
    <row r="24" spans="1:5" x14ac:dyDescent="0.25">
      <c r="A24" s="8" t="s">
        <v>88</v>
      </c>
      <c r="B24" s="4">
        <v>8</v>
      </c>
      <c r="D24" s="6">
        <v>13</v>
      </c>
      <c r="E24" s="6">
        <v>346</v>
      </c>
    </row>
    <row r="25" spans="1:5" x14ac:dyDescent="0.25">
      <c r="A25" s="7" t="s">
        <v>35</v>
      </c>
      <c r="B25" s="4">
        <v>140</v>
      </c>
      <c r="D25" s="6">
        <v>14</v>
      </c>
      <c r="E25" s="6">
        <v>871</v>
      </c>
    </row>
    <row r="26" spans="1:5" x14ac:dyDescent="0.25">
      <c r="A26" s="8" t="s">
        <v>99</v>
      </c>
      <c r="B26" s="4">
        <v>9</v>
      </c>
      <c r="D26" s="6">
        <v>15</v>
      </c>
      <c r="E26" s="6">
        <v>215</v>
      </c>
    </row>
    <row r="27" spans="1:5" x14ac:dyDescent="0.25">
      <c r="A27" s="8" t="s">
        <v>44</v>
      </c>
      <c r="B27" s="4">
        <v>7</v>
      </c>
      <c r="D27" s="6">
        <v>16</v>
      </c>
      <c r="E27" s="6">
        <v>38</v>
      </c>
    </row>
    <row r="28" spans="1:5" x14ac:dyDescent="0.25">
      <c r="A28" s="8" t="s">
        <v>58</v>
      </c>
      <c r="B28" s="4">
        <v>6</v>
      </c>
      <c r="D28" s="6">
        <v>17</v>
      </c>
      <c r="E28" s="6">
        <v>9</v>
      </c>
    </row>
    <row r="29" spans="1:5" x14ac:dyDescent="0.25">
      <c r="A29" s="8" t="s">
        <v>150</v>
      </c>
      <c r="B29" s="4">
        <v>6</v>
      </c>
      <c r="D29" s="6">
        <v>18</v>
      </c>
      <c r="E29" s="6">
        <v>15</v>
      </c>
    </row>
    <row r="30" spans="1:5" x14ac:dyDescent="0.25">
      <c r="A30" s="8" t="s">
        <v>54</v>
      </c>
      <c r="B30" s="4">
        <v>4</v>
      </c>
      <c r="D30" s="6">
        <v>19</v>
      </c>
      <c r="E30" s="6">
        <v>4</v>
      </c>
    </row>
    <row r="31" spans="1:5" x14ac:dyDescent="0.25">
      <c r="A31" s="8" t="s">
        <v>34</v>
      </c>
      <c r="B31" s="4">
        <v>4</v>
      </c>
      <c r="D31" s="6">
        <v>20</v>
      </c>
      <c r="E31" s="6">
        <v>26</v>
      </c>
    </row>
    <row r="32" spans="1:5" x14ac:dyDescent="0.25">
      <c r="A32" s="8" t="s">
        <v>82</v>
      </c>
      <c r="B32" s="4">
        <v>10</v>
      </c>
    </row>
    <row r="33" spans="1:2" x14ac:dyDescent="0.25">
      <c r="A33" s="8" t="s">
        <v>39</v>
      </c>
      <c r="B33" s="4">
        <v>6</v>
      </c>
    </row>
    <row r="34" spans="1:2" x14ac:dyDescent="0.25">
      <c r="A34" s="8" t="s">
        <v>28</v>
      </c>
      <c r="B34" s="4">
        <v>4</v>
      </c>
    </row>
    <row r="35" spans="1:2" x14ac:dyDescent="0.25">
      <c r="A35" s="8" t="s">
        <v>212</v>
      </c>
      <c r="B35" s="4">
        <v>10</v>
      </c>
    </row>
    <row r="36" spans="1:2" x14ac:dyDescent="0.25">
      <c r="A36" s="8" t="s">
        <v>72</v>
      </c>
      <c r="B36" s="4">
        <v>5</v>
      </c>
    </row>
    <row r="37" spans="1:2" x14ac:dyDescent="0.25">
      <c r="A37" s="8" t="s">
        <v>21</v>
      </c>
      <c r="B37" s="4">
        <v>5</v>
      </c>
    </row>
    <row r="38" spans="1:2" x14ac:dyDescent="0.25">
      <c r="A38" s="8" t="s">
        <v>67</v>
      </c>
      <c r="B38" s="4">
        <v>6</v>
      </c>
    </row>
    <row r="39" spans="1:2" x14ac:dyDescent="0.25">
      <c r="A39" s="8" t="s">
        <v>193</v>
      </c>
      <c r="B39" s="4">
        <v>8</v>
      </c>
    </row>
    <row r="40" spans="1:2" x14ac:dyDescent="0.25">
      <c r="A40" s="8" t="s">
        <v>78</v>
      </c>
      <c r="B40" s="4">
        <v>8</v>
      </c>
    </row>
    <row r="41" spans="1:2" x14ac:dyDescent="0.25">
      <c r="A41" s="8" t="s">
        <v>106</v>
      </c>
      <c r="B41" s="4">
        <v>10</v>
      </c>
    </row>
    <row r="42" spans="1:2" x14ac:dyDescent="0.25">
      <c r="A42" s="8" t="s">
        <v>49</v>
      </c>
      <c r="B42" s="4">
        <v>9</v>
      </c>
    </row>
    <row r="43" spans="1:2" x14ac:dyDescent="0.25">
      <c r="A43" s="8" t="s">
        <v>66</v>
      </c>
      <c r="B43" s="4">
        <v>10</v>
      </c>
    </row>
    <row r="44" spans="1:2" x14ac:dyDescent="0.25">
      <c r="A44" s="8" t="s">
        <v>114</v>
      </c>
      <c r="B44" s="4">
        <v>7</v>
      </c>
    </row>
    <row r="45" spans="1:2" x14ac:dyDescent="0.25">
      <c r="A45" s="8" t="s">
        <v>88</v>
      </c>
      <c r="B45" s="4">
        <v>6</v>
      </c>
    </row>
    <row r="46" spans="1:2" x14ac:dyDescent="0.25">
      <c r="A46" s="7" t="s">
        <v>40</v>
      </c>
      <c r="B46" s="4">
        <v>138</v>
      </c>
    </row>
    <row r="47" spans="1:2" x14ac:dyDescent="0.25">
      <c r="A47" s="8" t="s">
        <v>99</v>
      </c>
      <c r="B47" s="4">
        <v>13</v>
      </c>
    </row>
    <row r="48" spans="1:2" x14ac:dyDescent="0.25">
      <c r="A48" s="8" t="s">
        <v>44</v>
      </c>
      <c r="B48" s="4">
        <v>3</v>
      </c>
    </row>
    <row r="49" spans="1:2" x14ac:dyDescent="0.25">
      <c r="A49" s="8" t="s">
        <v>58</v>
      </c>
      <c r="B49" s="4">
        <v>6</v>
      </c>
    </row>
    <row r="50" spans="1:2" x14ac:dyDescent="0.25">
      <c r="A50" s="8" t="s">
        <v>150</v>
      </c>
      <c r="B50" s="4">
        <v>7</v>
      </c>
    </row>
    <row r="51" spans="1:2" x14ac:dyDescent="0.25">
      <c r="A51" s="8" t="s">
        <v>54</v>
      </c>
      <c r="B51" s="4">
        <v>7</v>
      </c>
    </row>
    <row r="52" spans="1:2" x14ac:dyDescent="0.25">
      <c r="A52" s="8" t="s">
        <v>34</v>
      </c>
      <c r="B52" s="4">
        <v>4</v>
      </c>
    </row>
    <row r="53" spans="1:2" x14ac:dyDescent="0.25">
      <c r="A53" s="8" t="s">
        <v>82</v>
      </c>
      <c r="B53" s="4">
        <v>5</v>
      </c>
    </row>
    <row r="54" spans="1:2" x14ac:dyDescent="0.25">
      <c r="A54" s="8" t="s">
        <v>39</v>
      </c>
      <c r="B54" s="4">
        <v>8</v>
      </c>
    </row>
    <row r="55" spans="1:2" x14ac:dyDescent="0.25">
      <c r="A55" s="8" t="s">
        <v>28</v>
      </c>
      <c r="B55" s="4">
        <v>5</v>
      </c>
    </row>
    <row r="56" spans="1:2" x14ac:dyDescent="0.25">
      <c r="A56" s="8" t="s">
        <v>212</v>
      </c>
      <c r="B56" s="4">
        <v>13</v>
      </c>
    </row>
    <row r="57" spans="1:2" x14ac:dyDescent="0.25">
      <c r="A57" s="8" t="s">
        <v>72</v>
      </c>
      <c r="B57" s="4">
        <v>5</v>
      </c>
    </row>
    <row r="58" spans="1:2" x14ac:dyDescent="0.25">
      <c r="A58" s="8" t="s">
        <v>21</v>
      </c>
      <c r="B58" s="4">
        <v>4</v>
      </c>
    </row>
    <row r="59" spans="1:2" x14ac:dyDescent="0.25">
      <c r="A59" s="8" t="s">
        <v>67</v>
      </c>
      <c r="B59" s="4">
        <v>7</v>
      </c>
    </row>
    <row r="60" spans="1:2" x14ac:dyDescent="0.25">
      <c r="A60" s="8" t="s">
        <v>193</v>
      </c>
      <c r="B60" s="4">
        <v>8</v>
      </c>
    </row>
    <row r="61" spans="1:2" x14ac:dyDescent="0.25">
      <c r="A61" s="8" t="s">
        <v>78</v>
      </c>
      <c r="B61" s="4">
        <v>7</v>
      </c>
    </row>
    <row r="62" spans="1:2" x14ac:dyDescent="0.25">
      <c r="A62" s="8" t="s">
        <v>106</v>
      </c>
      <c r="B62" s="4">
        <v>8</v>
      </c>
    </row>
    <row r="63" spans="1:2" x14ac:dyDescent="0.25">
      <c r="A63" s="8" t="s">
        <v>49</v>
      </c>
      <c r="B63" s="4">
        <v>11</v>
      </c>
    </row>
    <row r="64" spans="1:2" x14ac:dyDescent="0.25">
      <c r="A64" s="8" t="s">
        <v>66</v>
      </c>
      <c r="B64" s="4">
        <v>6</v>
      </c>
    </row>
    <row r="65" spans="1:2" x14ac:dyDescent="0.25">
      <c r="A65" s="8" t="s">
        <v>114</v>
      </c>
      <c r="B65" s="4">
        <v>6</v>
      </c>
    </row>
    <row r="66" spans="1:2" x14ac:dyDescent="0.25">
      <c r="A66" s="8" t="s">
        <v>88</v>
      </c>
      <c r="B66" s="4">
        <v>5</v>
      </c>
    </row>
    <row r="67" spans="1:2" x14ac:dyDescent="0.25">
      <c r="A67" s="7" t="s">
        <v>50</v>
      </c>
      <c r="B67" s="4">
        <v>152</v>
      </c>
    </row>
    <row r="68" spans="1:2" x14ac:dyDescent="0.25">
      <c r="A68" s="8" t="s">
        <v>99</v>
      </c>
      <c r="B68" s="4">
        <v>6</v>
      </c>
    </row>
    <row r="69" spans="1:2" x14ac:dyDescent="0.25">
      <c r="A69" s="8" t="s">
        <v>44</v>
      </c>
      <c r="B69" s="4">
        <v>4</v>
      </c>
    </row>
    <row r="70" spans="1:2" x14ac:dyDescent="0.25">
      <c r="A70" s="8" t="s">
        <v>58</v>
      </c>
      <c r="B70" s="4">
        <v>9</v>
      </c>
    </row>
    <row r="71" spans="1:2" x14ac:dyDescent="0.25">
      <c r="A71" s="8" t="s">
        <v>150</v>
      </c>
      <c r="B71" s="4">
        <v>4</v>
      </c>
    </row>
    <row r="72" spans="1:2" x14ac:dyDescent="0.25">
      <c r="A72" s="8" t="s">
        <v>54</v>
      </c>
      <c r="B72" s="4">
        <v>12</v>
      </c>
    </row>
    <row r="73" spans="1:2" x14ac:dyDescent="0.25">
      <c r="A73" s="8" t="s">
        <v>34</v>
      </c>
      <c r="B73" s="4">
        <v>5</v>
      </c>
    </row>
    <row r="74" spans="1:2" x14ac:dyDescent="0.25">
      <c r="A74" s="8" t="s">
        <v>82</v>
      </c>
      <c r="B74" s="4">
        <v>10</v>
      </c>
    </row>
    <row r="75" spans="1:2" x14ac:dyDescent="0.25">
      <c r="A75" s="8" t="s">
        <v>39</v>
      </c>
      <c r="B75" s="4">
        <v>8</v>
      </c>
    </row>
    <row r="76" spans="1:2" x14ac:dyDescent="0.25">
      <c r="A76" s="8" t="s">
        <v>28</v>
      </c>
      <c r="B76" s="4">
        <v>9</v>
      </c>
    </row>
    <row r="77" spans="1:2" x14ac:dyDescent="0.25">
      <c r="A77" s="8" t="s">
        <v>212</v>
      </c>
      <c r="B77" s="4">
        <v>7</v>
      </c>
    </row>
    <row r="78" spans="1:2" x14ac:dyDescent="0.25">
      <c r="A78" s="8" t="s">
        <v>72</v>
      </c>
      <c r="B78" s="4">
        <v>14</v>
      </c>
    </row>
    <row r="79" spans="1:2" x14ac:dyDescent="0.25">
      <c r="A79" s="8" t="s">
        <v>21</v>
      </c>
      <c r="B79" s="4">
        <v>13</v>
      </c>
    </row>
    <row r="80" spans="1:2" x14ac:dyDescent="0.25">
      <c r="A80" s="8" t="s">
        <v>67</v>
      </c>
      <c r="B80" s="4">
        <v>9</v>
      </c>
    </row>
    <row r="81" spans="1:2" x14ac:dyDescent="0.25">
      <c r="A81" s="8" t="s">
        <v>193</v>
      </c>
      <c r="B81" s="4">
        <v>8</v>
      </c>
    </row>
    <row r="82" spans="1:2" x14ac:dyDescent="0.25">
      <c r="A82" s="8" t="s">
        <v>78</v>
      </c>
      <c r="B82" s="4">
        <v>7</v>
      </c>
    </row>
    <row r="83" spans="1:2" x14ac:dyDescent="0.25">
      <c r="A83" s="8" t="s">
        <v>106</v>
      </c>
      <c r="B83" s="4">
        <v>7</v>
      </c>
    </row>
    <row r="84" spans="1:2" x14ac:dyDescent="0.25">
      <c r="A84" s="8" t="s">
        <v>49</v>
      </c>
      <c r="B84" s="4">
        <v>5</v>
      </c>
    </row>
    <row r="85" spans="1:2" x14ac:dyDescent="0.25">
      <c r="A85" s="8" t="s">
        <v>66</v>
      </c>
      <c r="B85" s="4">
        <v>2</v>
      </c>
    </row>
    <row r="86" spans="1:2" x14ac:dyDescent="0.25">
      <c r="A86" s="8" t="s">
        <v>114</v>
      </c>
      <c r="B86" s="4">
        <v>4</v>
      </c>
    </row>
    <row r="87" spans="1:2" x14ac:dyDescent="0.25">
      <c r="A87" s="8" t="s">
        <v>88</v>
      </c>
      <c r="B87" s="4">
        <v>9</v>
      </c>
    </row>
    <row r="88" spans="1:2" x14ac:dyDescent="0.25">
      <c r="A88" s="7" t="s">
        <v>59</v>
      </c>
      <c r="B88" s="4">
        <v>161</v>
      </c>
    </row>
    <row r="89" spans="1:2" x14ac:dyDescent="0.25">
      <c r="A89" s="8" t="s">
        <v>99</v>
      </c>
      <c r="B89" s="4">
        <v>3</v>
      </c>
    </row>
    <row r="90" spans="1:2" x14ac:dyDescent="0.25">
      <c r="A90" s="8" t="s">
        <v>44</v>
      </c>
      <c r="B90" s="4">
        <v>6</v>
      </c>
    </row>
    <row r="91" spans="1:2" x14ac:dyDescent="0.25">
      <c r="A91" s="8" t="s">
        <v>58</v>
      </c>
      <c r="B91" s="4">
        <v>8</v>
      </c>
    </row>
    <row r="92" spans="1:2" x14ac:dyDescent="0.25">
      <c r="A92" s="8" t="s">
        <v>150</v>
      </c>
      <c r="B92" s="4">
        <v>13</v>
      </c>
    </row>
    <row r="93" spans="1:2" x14ac:dyDescent="0.25">
      <c r="A93" s="8" t="s">
        <v>54</v>
      </c>
      <c r="B93" s="4">
        <v>10</v>
      </c>
    </row>
    <row r="94" spans="1:2" x14ac:dyDescent="0.25">
      <c r="A94" s="8" t="s">
        <v>34</v>
      </c>
      <c r="B94" s="4">
        <v>13</v>
      </c>
    </row>
    <row r="95" spans="1:2" x14ac:dyDescent="0.25">
      <c r="A95" s="8" t="s">
        <v>82</v>
      </c>
      <c r="B95" s="4">
        <v>6</v>
      </c>
    </row>
    <row r="96" spans="1:2" x14ac:dyDescent="0.25">
      <c r="A96" s="8" t="s">
        <v>39</v>
      </c>
      <c r="B96" s="4">
        <v>5</v>
      </c>
    </row>
    <row r="97" spans="1:2" x14ac:dyDescent="0.25">
      <c r="A97" s="8" t="s">
        <v>28</v>
      </c>
      <c r="B97" s="4">
        <v>6</v>
      </c>
    </row>
    <row r="98" spans="1:2" x14ac:dyDescent="0.25">
      <c r="A98" s="8" t="s">
        <v>212</v>
      </c>
      <c r="B98" s="4">
        <v>6</v>
      </c>
    </row>
    <row r="99" spans="1:2" x14ac:dyDescent="0.25">
      <c r="A99" s="8" t="s">
        <v>72</v>
      </c>
      <c r="B99" s="4">
        <v>14</v>
      </c>
    </row>
    <row r="100" spans="1:2" x14ac:dyDescent="0.25">
      <c r="A100" s="8" t="s">
        <v>21</v>
      </c>
      <c r="B100" s="4">
        <v>8</v>
      </c>
    </row>
    <row r="101" spans="1:2" x14ac:dyDescent="0.25">
      <c r="A101" s="8" t="s">
        <v>67</v>
      </c>
      <c r="B101" s="4">
        <v>10</v>
      </c>
    </row>
    <row r="102" spans="1:2" x14ac:dyDescent="0.25">
      <c r="A102" s="8" t="s">
        <v>193</v>
      </c>
      <c r="B102" s="4">
        <v>7</v>
      </c>
    </row>
    <row r="103" spans="1:2" x14ac:dyDescent="0.25">
      <c r="A103" s="8" t="s">
        <v>78</v>
      </c>
      <c r="B103" s="4">
        <v>8</v>
      </c>
    </row>
    <row r="104" spans="1:2" x14ac:dyDescent="0.25">
      <c r="A104" s="8" t="s">
        <v>106</v>
      </c>
      <c r="B104" s="4">
        <v>10</v>
      </c>
    </row>
    <row r="105" spans="1:2" x14ac:dyDescent="0.25">
      <c r="A105" s="8" t="s">
        <v>49</v>
      </c>
      <c r="B105" s="4">
        <v>11</v>
      </c>
    </row>
    <row r="106" spans="1:2" x14ac:dyDescent="0.25">
      <c r="A106" s="8" t="s">
        <v>66</v>
      </c>
      <c r="B106" s="4">
        <v>9</v>
      </c>
    </row>
    <row r="107" spans="1:2" x14ac:dyDescent="0.25">
      <c r="A107" s="8" t="s">
        <v>114</v>
      </c>
      <c r="B107" s="4">
        <v>4</v>
      </c>
    </row>
    <row r="108" spans="1:2" x14ac:dyDescent="0.25">
      <c r="A108" s="8" t="s">
        <v>88</v>
      </c>
      <c r="B108" s="4">
        <v>4</v>
      </c>
    </row>
    <row r="109" spans="1:2" x14ac:dyDescent="0.25">
      <c r="A109" s="7" t="s">
        <v>4724</v>
      </c>
      <c r="B109" s="4">
        <v>738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E4795-A008-4ADF-9AC4-FFF36644BB4F}">
  <dimension ref="D1:O739"/>
  <sheetViews>
    <sheetView tabSelected="1" topLeftCell="B1" workbookViewId="0">
      <selection activeCell="D11" sqref="D11"/>
    </sheetView>
  </sheetViews>
  <sheetFormatPr defaultRowHeight="15" x14ac:dyDescent="0.25"/>
  <cols>
    <col min="4" max="4" width="100.28515625" customWidth="1"/>
    <col min="9" max="9" width="14.5703125" style="14" customWidth="1"/>
    <col min="10" max="10" width="24.28515625" style="14" bestFit="1" customWidth="1"/>
    <col min="12" max="12" width="14.85546875" customWidth="1"/>
  </cols>
  <sheetData>
    <row r="1" spans="4:15" x14ac:dyDescent="0.25">
      <c r="I1" s="14" t="s">
        <v>4756</v>
      </c>
      <c r="J1" s="14" t="s">
        <v>6</v>
      </c>
      <c r="K1" t="s">
        <v>4754</v>
      </c>
      <c r="L1" t="s">
        <v>4755</v>
      </c>
    </row>
    <row r="2" spans="4:15" x14ac:dyDescent="0.25">
      <c r="I2" s="14">
        <f>MATCH(J2,J:J,0)</f>
        <v>2</v>
      </c>
      <c r="J2" s="14" t="s">
        <v>56</v>
      </c>
      <c r="K2">
        <f>_xlfn.MODE.SNGL(I:I)</f>
        <v>43</v>
      </c>
      <c r="L2" t="str">
        <f>VLOOKUP(K2,I:J,2,FALSE)</f>
        <v>Mossoró</v>
      </c>
      <c r="M2">
        <f>IF(Tabela1[[#This Row],[Qtd Filhos]]&gt;=8,1,0)</f>
        <v>0</v>
      </c>
      <c r="N2">
        <f>IF(Tabela1[[#This Row],[Idade]]&gt;50,1,0)</f>
        <v>1</v>
      </c>
      <c r="O2">
        <f>YEAR(Tabela1[[#This Row],[Data Nasc.]])</f>
        <v>1974</v>
      </c>
    </row>
    <row r="3" spans="4:15" x14ac:dyDescent="0.25">
      <c r="I3" s="14">
        <f>MATCH(J3,J:J,0)</f>
        <v>3</v>
      </c>
      <c r="J3" s="14" t="s">
        <v>103</v>
      </c>
      <c r="M3">
        <f>IF(Tabela1[[#This Row],[Qtd Filhos]]&gt;=8,1,0)</f>
        <v>0</v>
      </c>
      <c r="N3">
        <f>IF(Tabela1[[#This Row],[Idade]]&gt;50,1,0)</f>
        <v>1</v>
      </c>
      <c r="O3">
        <f>YEAR(Tabela1[[#This Row],[Data Nasc.]])</f>
        <v>1961</v>
      </c>
    </row>
    <row r="4" spans="4:15" ht="18" x14ac:dyDescent="0.25">
      <c r="D4" s="9" t="s">
        <v>4728</v>
      </c>
      <c r="I4" s="14">
        <f>MATCH(J4,J:J,0)</f>
        <v>4</v>
      </c>
      <c r="J4" s="14" t="s">
        <v>281</v>
      </c>
      <c r="M4">
        <f>IF(Tabela1[[#This Row],[Qtd Filhos]]&gt;=8,1,0)</f>
        <v>0</v>
      </c>
      <c r="N4">
        <f>IF(Tabela1[[#This Row],[Idade]]&gt;50,1,0)</f>
        <v>0</v>
      </c>
      <c r="O4">
        <f>YEAR(Tabela1[[#This Row],[Data Nasc.]])</f>
        <v>1996</v>
      </c>
    </row>
    <row r="5" spans="4:15" x14ac:dyDescent="0.25">
      <c r="I5" s="14">
        <f>MATCH(J5,J:J,0)</f>
        <v>5</v>
      </c>
      <c r="J5" s="14" t="s">
        <v>171</v>
      </c>
      <c r="M5">
        <f>IF(Tabela1[[#This Row],[Qtd Filhos]]&gt;=8,1,0)</f>
        <v>0</v>
      </c>
      <c r="N5">
        <f>IF(Tabela1[[#This Row],[Idade]]&gt;50,1,0)</f>
        <v>0</v>
      </c>
      <c r="O5">
        <f>YEAR(Tabela1[[#This Row],[Data Nasc.]])</f>
        <v>1978</v>
      </c>
    </row>
    <row r="6" spans="4:15" ht="15.75" x14ac:dyDescent="0.25">
      <c r="D6" s="10" t="s">
        <v>4729</v>
      </c>
      <c r="I6" s="14">
        <f>MATCH(J6,J:J,0)</f>
        <v>6</v>
      </c>
      <c r="J6" s="14" t="s">
        <v>289</v>
      </c>
      <c r="M6">
        <f>IF(Tabela1[[#This Row],[Qtd Filhos]]&gt;=8,1,0)</f>
        <v>0</v>
      </c>
      <c r="N6">
        <f>IF(Tabela1[[#This Row],[Idade]]&gt;50,1,0)</f>
        <v>0</v>
      </c>
      <c r="O6">
        <f>YEAR(Tabela1[[#This Row],[Data Nasc.]])</f>
        <v>1997</v>
      </c>
    </row>
    <row r="7" spans="4:15" x14ac:dyDescent="0.25">
      <c r="D7" s="11"/>
      <c r="I7" s="14">
        <f>MATCH(J7,J:J,0)</f>
        <v>7</v>
      </c>
      <c r="J7" s="14" t="s">
        <v>118</v>
      </c>
      <c r="M7">
        <f>IF(Tabela1[[#This Row],[Qtd Filhos]]&gt;=8,1,0)</f>
        <v>0</v>
      </c>
      <c r="N7">
        <f>IF(Tabela1[[#This Row],[Idade]]&gt;50,1,0)</f>
        <v>0</v>
      </c>
      <c r="O7">
        <f>YEAR(Tabela1[[#This Row],[Data Nasc.]])</f>
        <v>1977</v>
      </c>
    </row>
    <row r="8" spans="4:15" x14ac:dyDescent="0.25">
      <c r="D8" s="11" t="s">
        <v>4730</v>
      </c>
      <c r="I8" s="14">
        <f>MATCH(J8,J:J,0)</f>
        <v>8</v>
      </c>
      <c r="J8" s="14" t="s">
        <v>192</v>
      </c>
      <c r="M8">
        <f>IF(Tabela1[[#This Row],[Qtd Filhos]]&gt;=8,1,0)</f>
        <v>0</v>
      </c>
      <c r="N8">
        <f>IF(Tabela1[[#This Row],[Idade]]&gt;50,1,0)</f>
        <v>0</v>
      </c>
      <c r="O8">
        <f>YEAR(Tabela1[[#This Row],[Data Nasc.]])</f>
        <v>1987</v>
      </c>
    </row>
    <row r="9" spans="4:15" x14ac:dyDescent="0.25">
      <c r="D9" s="11">
        <f>COUNTIF(Planilha1!H:H,"SP")</f>
        <v>37</v>
      </c>
      <c r="I9" s="14">
        <f>MATCH(J9,J:J,0)</f>
        <v>9</v>
      </c>
      <c r="J9" s="14" t="s">
        <v>229</v>
      </c>
      <c r="M9">
        <f>IF(Tabela1[[#This Row],[Qtd Filhos]]&gt;=8,1,0)</f>
        <v>0</v>
      </c>
      <c r="N9">
        <f>IF(Tabela1[[#This Row],[Idade]]&gt;50,1,0)</f>
        <v>0</v>
      </c>
      <c r="O9">
        <f>YEAR(Tabela1[[#This Row],[Data Nasc.]])</f>
        <v>2000</v>
      </c>
    </row>
    <row r="10" spans="4:15" x14ac:dyDescent="0.25">
      <c r="D10" s="11" t="s">
        <v>4731</v>
      </c>
      <c r="I10" s="14">
        <f>MATCH(J10,J:J,0)</f>
        <v>10</v>
      </c>
      <c r="J10" s="14" t="s">
        <v>152</v>
      </c>
      <c r="M10">
        <f>IF(Tabela1[[#This Row],[Qtd Filhos]]&gt;=8,1,0)</f>
        <v>0</v>
      </c>
      <c r="N10">
        <f>IF(Tabela1[[#This Row],[Idade]]&gt;50,1,0)</f>
        <v>1</v>
      </c>
      <c r="O10">
        <f>YEAR(Tabela1[[#This Row],[Data Nasc.]])</f>
        <v>1964</v>
      </c>
    </row>
    <row r="11" spans="4:15" x14ac:dyDescent="0.25">
      <c r="D11" s="11" t="str">
        <f>L2</f>
        <v>Mossoró</v>
      </c>
      <c r="I11" s="14">
        <f>MATCH(J11,J:J,0)</f>
        <v>11</v>
      </c>
      <c r="J11" s="14" t="s">
        <v>166</v>
      </c>
      <c r="M11">
        <f>IF(Tabela1[[#This Row],[Qtd Filhos]]&gt;=8,1,0)</f>
        <v>0</v>
      </c>
      <c r="N11">
        <f>IF(Tabela1[[#This Row],[Idade]]&gt;50,1,0)</f>
        <v>0</v>
      </c>
      <c r="O11">
        <f>YEAR(Tabela1[[#This Row],[Data Nasc.]])</f>
        <v>2001</v>
      </c>
    </row>
    <row r="12" spans="4:15" x14ac:dyDescent="0.25">
      <c r="D12" s="11" t="s">
        <v>4732</v>
      </c>
      <c r="I12" s="14">
        <f>MATCH(J12,J:J,0)</f>
        <v>12</v>
      </c>
      <c r="J12" s="14" t="s">
        <v>273</v>
      </c>
      <c r="M12">
        <f>IF(Tabela1[[#This Row],[Qtd Filhos]]&gt;=8,1,0)</f>
        <v>0</v>
      </c>
      <c r="N12">
        <f>IF(Tabela1[[#This Row],[Idade]]&gt;50,1,0)</f>
        <v>1</v>
      </c>
      <c r="O12">
        <f>YEAR(Tabela1[[#This Row],[Data Nasc.]])</f>
        <v>1961</v>
      </c>
    </row>
    <row r="13" spans="4:15" x14ac:dyDescent="0.25">
      <c r="D13" s="11">
        <f>(COUNTIF(Planilha1!H:H,"AL"))+(COUNTIF(Planilha1!H:H,"BA"))+(COUNTIF(Planilha1!H:H,"CE"))+(COUNTIF(Planilha1!H:H,"MA"))+(COUNTIF(Planilha1!H:H,"PB"))+(COUNTIF(Planilha1!H:H,"PE"))+(COUNTIF(Planilha1!H:H,"PI"))+(COUNTIF(Planilha1!H:H,"RN"))+(COUNTIF(Planilha1!H:H,"SE"))</f>
        <v>233</v>
      </c>
      <c r="I13" s="14">
        <f>MATCH(J13,J:J,0)</f>
        <v>4</v>
      </c>
      <c r="J13" s="14" t="s">
        <v>281</v>
      </c>
      <c r="M13">
        <f>IF(Tabela1[[#This Row],[Qtd Filhos]]&gt;=8,1,0)</f>
        <v>0</v>
      </c>
      <c r="N13">
        <f>IF(Tabela1[[#This Row],[Idade]]&gt;50,1,0)</f>
        <v>0</v>
      </c>
      <c r="O13">
        <f>YEAR(Tabela1[[#This Row],[Data Nasc.]])</f>
        <v>2000</v>
      </c>
    </row>
    <row r="14" spans="4:15" x14ac:dyDescent="0.25">
      <c r="D14" s="11" t="s">
        <v>4733</v>
      </c>
      <c r="I14" s="14">
        <f>MATCH(J14,J:J,0)</f>
        <v>14</v>
      </c>
      <c r="J14" s="14" t="s">
        <v>184</v>
      </c>
      <c r="M14">
        <f>IF(Tabela1[[#This Row],[Qtd Filhos]]&gt;=8,1,0)</f>
        <v>0</v>
      </c>
      <c r="N14">
        <f>IF(Tabela1[[#This Row],[Idade]]&gt;50,1,0)</f>
        <v>0</v>
      </c>
      <c r="O14">
        <f>YEAR(Tabela1[[#This Row],[Data Nasc.]])</f>
        <v>1999</v>
      </c>
    </row>
    <row r="15" spans="4:15" x14ac:dyDescent="0.25">
      <c r="D15" s="7">
        <f>COUNTIF(Planilha1!E:E,"Av. *")</f>
        <v>632</v>
      </c>
      <c r="I15" s="14">
        <f>MATCH(J15,J:J,0)</f>
        <v>15</v>
      </c>
      <c r="J15" s="14" t="s">
        <v>31</v>
      </c>
      <c r="M15">
        <f>IF(Tabela1[[#This Row],[Qtd Filhos]]&gt;=8,1,0)</f>
        <v>0</v>
      </c>
      <c r="N15">
        <f>IF(Tabela1[[#This Row],[Idade]]&gt;50,1,0)</f>
        <v>0</v>
      </c>
      <c r="O15">
        <f>YEAR(Tabela1[[#This Row],[Data Nasc.]])</f>
        <v>2005</v>
      </c>
    </row>
    <row r="16" spans="4:15" ht="15.75" x14ac:dyDescent="0.25">
      <c r="D16" s="10" t="s">
        <v>4734</v>
      </c>
      <c r="I16" s="14">
        <f>MATCH(J16,J:J,0)</f>
        <v>9</v>
      </c>
      <c r="J16" s="14" t="s">
        <v>229</v>
      </c>
      <c r="M16">
        <f>IF(Tabela1[[#This Row],[Qtd Filhos]]&gt;=8,1,0)</f>
        <v>0</v>
      </c>
      <c r="N16">
        <f>IF(Tabela1[[#This Row],[Idade]]&gt;50,1,0)</f>
        <v>0</v>
      </c>
      <c r="O16">
        <f>YEAR(Tabela1[[#This Row],[Data Nasc.]])</f>
        <v>1979</v>
      </c>
    </row>
    <row r="17" spans="4:15" x14ac:dyDescent="0.25">
      <c r="D17" s="11"/>
      <c r="I17" s="14">
        <f>MATCH(J17,J:J,0)</f>
        <v>17</v>
      </c>
      <c r="J17" s="14" t="s">
        <v>143</v>
      </c>
      <c r="M17">
        <f>IF(Tabela1[[#This Row],[Qtd Filhos]]&gt;=8,1,0)</f>
        <v>0</v>
      </c>
      <c r="N17">
        <f>IF(Tabela1[[#This Row],[Idade]]&gt;50,1,0)</f>
        <v>0</v>
      </c>
      <c r="O17">
        <f>YEAR(Tabela1[[#This Row],[Data Nasc.]])</f>
        <v>2008</v>
      </c>
    </row>
    <row r="18" spans="4:15" x14ac:dyDescent="0.25">
      <c r="D18" s="11" t="s">
        <v>4735</v>
      </c>
      <c r="I18" s="14">
        <f>MATCH(J18,J:J,0)</f>
        <v>18</v>
      </c>
      <c r="J18" s="14" t="s">
        <v>42</v>
      </c>
      <c r="M18">
        <f>IF(Tabela1[[#This Row],[Qtd Filhos]]&gt;=8,1,0)</f>
        <v>0</v>
      </c>
      <c r="N18">
        <f>IF(Tabela1[[#This Row],[Idade]]&gt;50,1,0)</f>
        <v>1</v>
      </c>
      <c r="O18">
        <f>YEAR(Tabela1[[#This Row],[Data Nasc.]])</f>
        <v>1968</v>
      </c>
    </row>
    <row r="19" spans="4:15" x14ac:dyDescent="0.25">
      <c r="D19" s="12">
        <f>AVERAGE(Planilha1!D:D)</f>
        <v>41.235772357723576</v>
      </c>
      <c r="I19" s="14">
        <f>MATCH(J19,J:J,0)</f>
        <v>19</v>
      </c>
      <c r="J19" s="14" t="s">
        <v>80</v>
      </c>
      <c r="M19">
        <f>IF(Tabela1[[#This Row],[Qtd Filhos]]&gt;=8,1,0)</f>
        <v>0</v>
      </c>
      <c r="N19">
        <f>IF(Tabela1[[#This Row],[Idade]]&gt;50,1,0)</f>
        <v>0</v>
      </c>
      <c r="O19">
        <f>YEAR(Tabela1[[#This Row],[Data Nasc.]])</f>
        <v>1997</v>
      </c>
    </row>
    <row r="20" spans="4:15" x14ac:dyDescent="0.25">
      <c r="D20" s="11" t="s">
        <v>4736</v>
      </c>
      <c r="I20" s="14">
        <f>MATCH(J20,J:J,0)</f>
        <v>17</v>
      </c>
      <c r="J20" s="14" t="s">
        <v>143</v>
      </c>
      <c r="M20">
        <f>IF(Tabela1[[#This Row],[Qtd Filhos]]&gt;=8,1,0)</f>
        <v>0</v>
      </c>
      <c r="N20">
        <f>IF(Tabela1[[#This Row],[Idade]]&gt;50,1,0)</f>
        <v>1</v>
      </c>
      <c r="O20">
        <f>YEAR(Tabela1[[#This Row],[Data Nasc.]])</f>
        <v>1975</v>
      </c>
    </row>
    <row r="21" spans="4:15" x14ac:dyDescent="0.25">
      <c r="D21" s="11">
        <f>COUNTIF(Planilha1!D:D,18)</f>
        <v>15</v>
      </c>
      <c r="I21" s="14">
        <f>MATCH(J21,J:J,0)</f>
        <v>21</v>
      </c>
      <c r="J21" s="14" t="s">
        <v>244</v>
      </c>
      <c r="M21">
        <f>IF(Tabela1[[#This Row],[Qtd Filhos]]&gt;=8,1,0)</f>
        <v>0</v>
      </c>
      <c r="N21">
        <f>IF(Tabela1[[#This Row],[Idade]]&gt;50,1,0)</f>
        <v>1</v>
      </c>
      <c r="O21">
        <f>YEAR(Tabela1[[#This Row],[Data Nasc.]])</f>
        <v>1970</v>
      </c>
    </row>
    <row r="22" spans="4:15" x14ac:dyDescent="0.25">
      <c r="D22" s="11" t="s">
        <v>4737</v>
      </c>
      <c r="I22" s="14">
        <f>MATCH(J22,J:J,0)</f>
        <v>18</v>
      </c>
      <c r="J22" s="14" t="s">
        <v>42</v>
      </c>
      <c r="M22">
        <f>IF(Tabela1[[#This Row],[Qtd Filhos]]&gt;=8,1,0)</f>
        <v>0</v>
      </c>
      <c r="N22">
        <f>IF(Tabela1[[#This Row],[Idade]]&gt;50,1,0)</f>
        <v>0</v>
      </c>
      <c r="O22">
        <f>YEAR(Tabela1[[#This Row],[Data Nasc.]])</f>
        <v>2001</v>
      </c>
    </row>
    <row r="23" spans="4:15" x14ac:dyDescent="0.25">
      <c r="D23" s="11">
        <f>SUM(Planilha3!N:N)</f>
        <v>218</v>
      </c>
      <c r="I23" s="14">
        <f>MATCH(J23,J:J,0)</f>
        <v>23</v>
      </c>
      <c r="J23" s="14" t="s">
        <v>283</v>
      </c>
      <c r="M23">
        <f>IF(Tabela1[[#This Row],[Qtd Filhos]]&gt;=8,1,0)</f>
        <v>0</v>
      </c>
      <c r="N23">
        <f>IF(Tabela1[[#This Row],[Idade]]&gt;50,1,0)</f>
        <v>0</v>
      </c>
      <c r="O23">
        <f>YEAR(Tabela1[[#This Row],[Data Nasc.]])</f>
        <v>2004</v>
      </c>
    </row>
    <row r="24" spans="4:15" x14ac:dyDescent="0.25">
      <c r="D24" s="11" t="s">
        <v>4738</v>
      </c>
      <c r="I24" s="14">
        <f>MATCH(J24,J:J,0)</f>
        <v>24</v>
      </c>
      <c r="J24" s="14" t="s">
        <v>225</v>
      </c>
      <c r="M24">
        <f>IF(Tabela1[[#This Row],[Qtd Filhos]]&gt;=8,1,0)</f>
        <v>0</v>
      </c>
      <c r="N24">
        <f>IF(Tabela1[[#This Row],[Idade]]&gt;50,1,0)</f>
        <v>0</v>
      </c>
      <c r="O24">
        <f>YEAR(Tabela1[[#This Row],[Data Nasc.]])</f>
        <v>2007</v>
      </c>
    </row>
    <row r="25" spans="4:15" x14ac:dyDescent="0.25">
      <c r="D25" s="7">
        <f>COUNTIF(Planilha3!O:O,1990)</f>
        <v>10</v>
      </c>
      <c r="I25" s="14">
        <f>MATCH(J25,J:J,0)</f>
        <v>25</v>
      </c>
      <c r="J25" s="14" t="s">
        <v>214</v>
      </c>
      <c r="M25">
        <f>IF(Tabela1[[#This Row],[Qtd Filhos]]&gt;=8,1,0)</f>
        <v>0</v>
      </c>
      <c r="N25">
        <f>IF(Tabela1[[#This Row],[Idade]]&gt;50,1,0)</f>
        <v>0</v>
      </c>
      <c r="O25">
        <f>YEAR(Tabela1[[#This Row],[Data Nasc.]])</f>
        <v>2006</v>
      </c>
    </row>
    <row r="26" spans="4:15" ht="15.75" x14ac:dyDescent="0.25">
      <c r="D26" s="10" t="s">
        <v>4739</v>
      </c>
      <c r="I26" s="14">
        <f>MATCH(J26,J:J,0)</f>
        <v>26</v>
      </c>
      <c r="J26" s="14" t="s">
        <v>287</v>
      </c>
      <c r="M26">
        <f>IF(Tabela1[[#This Row],[Qtd Filhos]]&gt;=8,1,0)</f>
        <v>0</v>
      </c>
      <c r="N26">
        <f>IF(Tabela1[[#This Row],[Idade]]&gt;50,1,0)</f>
        <v>0</v>
      </c>
      <c r="O26">
        <f>YEAR(Tabela1[[#This Row],[Data Nasc.]])</f>
        <v>2003</v>
      </c>
    </row>
    <row r="27" spans="4:15" x14ac:dyDescent="0.25">
      <c r="D27" s="11"/>
      <c r="I27" s="14">
        <f>MATCH(J27,J:J,0)</f>
        <v>27</v>
      </c>
      <c r="J27" s="14" t="s">
        <v>207</v>
      </c>
      <c r="M27">
        <f>IF(Tabela1[[#This Row],[Qtd Filhos]]&gt;=8,1,0)</f>
        <v>0</v>
      </c>
      <c r="N27">
        <f>IF(Tabela1[[#This Row],[Idade]]&gt;50,1,0)</f>
        <v>1</v>
      </c>
      <c r="O27">
        <f>YEAR(Tabela1[[#This Row],[Data Nasc.]])</f>
        <v>1972</v>
      </c>
    </row>
    <row r="28" spans="4:15" x14ac:dyDescent="0.25">
      <c r="D28" s="11" t="s">
        <v>4740</v>
      </c>
      <c r="I28" s="14">
        <f>MATCH(J28,J:J,0)</f>
        <v>28</v>
      </c>
      <c r="J28" s="14" t="s">
        <v>211</v>
      </c>
      <c r="M28">
        <f>IF(Tabela1[[#This Row],[Qtd Filhos]]&gt;=8,1,0)</f>
        <v>0</v>
      </c>
      <c r="N28">
        <f>IF(Tabela1[[#This Row],[Idade]]&gt;50,1,0)</f>
        <v>0</v>
      </c>
      <c r="O28">
        <f>YEAR(Tabela1[[#This Row],[Data Nasc.]])</f>
        <v>1991</v>
      </c>
    </row>
    <row r="29" spans="4:15" x14ac:dyDescent="0.25">
      <c r="D29" s="11">
        <f>COUNTIF(Planilha1!O:O,"Casado(a)")</f>
        <v>147</v>
      </c>
      <c r="I29" s="14">
        <f>MATCH(J29,J:J,0)</f>
        <v>29</v>
      </c>
      <c r="J29" s="14" t="s">
        <v>209</v>
      </c>
      <c r="M29">
        <f>IF(Tabela1[[#This Row],[Qtd Filhos]]&gt;=8,1,0)</f>
        <v>0</v>
      </c>
      <c r="N29">
        <f>IF(Tabela1[[#This Row],[Idade]]&gt;50,1,0)</f>
        <v>0</v>
      </c>
      <c r="O29">
        <f>YEAR(Tabela1[[#This Row],[Data Nasc.]])</f>
        <v>2004</v>
      </c>
    </row>
    <row r="30" spans="4:15" x14ac:dyDescent="0.25">
      <c r="D30" s="11" t="s">
        <v>4741</v>
      </c>
      <c r="I30" s="14">
        <f>MATCH(J30,J:J,0)</f>
        <v>30</v>
      </c>
      <c r="J30" s="14" t="s">
        <v>158</v>
      </c>
      <c r="M30">
        <f>IF(Tabela1[[#This Row],[Qtd Filhos]]&gt;=8,1,0)</f>
        <v>0</v>
      </c>
      <c r="N30">
        <f>IF(Tabela1[[#This Row],[Idade]]&gt;50,1,0)</f>
        <v>0</v>
      </c>
      <c r="O30">
        <f>YEAR(Tabela1[[#This Row],[Data Nasc.]])</f>
        <v>2005</v>
      </c>
    </row>
    <row r="31" spans="4:15" x14ac:dyDescent="0.25">
      <c r="D31" s="11">
        <f>COUNTIFS(Planilha1!M:M,"Indígena")</f>
        <v>12</v>
      </c>
      <c r="I31" s="14">
        <f>MATCH(J31,J:J,0)</f>
        <v>31</v>
      </c>
      <c r="J31" s="14" t="s">
        <v>240</v>
      </c>
      <c r="M31">
        <f>IF(Tabela1[[#This Row],[Qtd Filhos]]&gt;=8,1,0)</f>
        <v>0</v>
      </c>
      <c r="N31">
        <f>IF(Tabela1[[#This Row],[Idade]]&gt;50,1,0)</f>
        <v>0</v>
      </c>
      <c r="O31">
        <f>YEAR(Tabela1[[#This Row],[Data Nasc.]])</f>
        <v>1996</v>
      </c>
    </row>
    <row r="32" spans="4:15" x14ac:dyDescent="0.25">
      <c r="D32" s="11" t="s">
        <v>4742</v>
      </c>
      <c r="I32" s="14">
        <f>MATCH(J32,J:J,0)</f>
        <v>32</v>
      </c>
      <c r="J32" s="14" t="s">
        <v>164</v>
      </c>
      <c r="M32">
        <f>IF(Tabela1[[#This Row],[Qtd Filhos]]&gt;=8,1,0)</f>
        <v>0</v>
      </c>
      <c r="N32">
        <f>IF(Tabela1[[#This Row],[Idade]]&gt;50,1,0)</f>
        <v>0</v>
      </c>
      <c r="O32">
        <f>YEAR(Tabela1[[#This Row],[Data Nasc.]])</f>
        <v>1984</v>
      </c>
    </row>
    <row r="33" spans="4:15" x14ac:dyDescent="0.25">
      <c r="D33" s="11">
        <f>COUNTIFS(Planilha1!O:O,"Solteiro(a)",Planilha1!M:M,"Branca")</f>
        <v>40</v>
      </c>
      <c r="I33" s="14">
        <f>MATCH(J33,J:J,0)</f>
        <v>33</v>
      </c>
      <c r="J33" s="14" t="s">
        <v>263</v>
      </c>
      <c r="M33">
        <f>IF(Tabela1[[#This Row],[Qtd Filhos]]&gt;=8,1,0)</f>
        <v>0</v>
      </c>
      <c r="N33">
        <f>IF(Tabela1[[#This Row],[Idade]]&gt;50,1,0)</f>
        <v>1</v>
      </c>
      <c r="O33">
        <f>YEAR(Tabela1[[#This Row],[Data Nasc.]])</f>
        <v>1972</v>
      </c>
    </row>
    <row r="34" spans="4:15" x14ac:dyDescent="0.25">
      <c r="D34" s="11" t="s">
        <v>4743</v>
      </c>
      <c r="I34" s="14">
        <f>MATCH(J34,J:J,0)</f>
        <v>34</v>
      </c>
      <c r="J34" s="14" t="s">
        <v>235</v>
      </c>
      <c r="M34">
        <f>IF(Tabela1[[#This Row],[Qtd Filhos]]&gt;=8,1,0)</f>
        <v>0</v>
      </c>
      <c r="N34">
        <f>IF(Tabela1[[#This Row],[Idade]]&gt;50,1,0)</f>
        <v>0</v>
      </c>
      <c r="O34">
        <f>YEAR(Tabela1[[#This Row],[Data Nasc.]])</f>
        <v>2008</v>
      </c>
    </row>
    <row r="35" spans="4:15" x14ac:dyDescent="0.25">
      <c r="I35" s="14">
        <f>MATCH(J35,J:J,0)</f>
        <v>14</v>
      </c>
      <c r="J35" s="14" t="s">
        <v>184</v>
      </c>
      <c r="M35">
        <f>IF(Tabela1[[#This Row],[Qtd Filhos]]&gt;=8,1,0)</f>
        <v>0</v>
      </c>
      <c r="N35">
        <f>IF(Tabela1[[#This Row],[Idade]]&gt;50,1,0)</f>
        <v>0</v>
      </c>
      <c r="O35">
        <f>YEAR(Tabela1[[#This Row],[Data Nasc.]])</f>
        <v>2000</v>
      </c>
    </row>
    <row r="36" spans="4:15" ht="15.75" x14ac:dyDescent="0.25">
      <c r="D36" s="10" t="s">
        <v>4744</v>
      </c>
      <c r="I36" s="14">
        <f>MATCH(J36,J:J,0)</f>
        <v>33</v>
      </c>
      <c r="J36" s="14" t="s">
        <v>263</v>
      </c>
      <c r="M36">
        <f>IF(Tabela1[[#This Row],[Qtd Filhos]]&gt;=8,1,0)</f>
        <v>0</v>
      </c>
      <c r="N36">
        <f>IF(Tabela1[[#This Row],[Idade]]&gt;50,1,0)</f>
        <v>0</v>
      </c>
      <c r="O36">
        <f>YEAR(Tabela1[[#This Row],[Data Nasc.]])</f>
        <v>1994</v>
      </c>
    </row>
    <row r="37" spans="4:15" x14ac:dyDescent="0.25">
      <c r="D37" s="11"/>
      <c r="I37" s="14">
        <f>MATCH(J37,J:J,0)</f>
        <v>37</v>
      </c>
      <c r="J37" s="14" t="s">
        <v>147</v>
      </c>
      <c r="M37">
        <f>IF(Tabela1[[#This Row],[Qtd Filhos]]&gt;=8,1,0)</f>
        <v>0</v>
      </c>
      <c r="N37">
        <f>IF(Tabela1[[#This Row],[Idade]]&gt;50,1,0)</f>
        <v>0</v>
      </c>
      <c r="O37">
        <f>YEAR(Tabela1[[#This Row],[Data Nasc.]])</f>
        <v>2005</v>
      </c>
    </row>
    <row r="38" spans="4:15" x14ac:dyDescent="0.25">
      <c r="D38" s="11" t="s">
        <v>4745</v>
      </c>
      <c r="I38" s="14">
        <f>MATCH(J38,J:J,0)</f>
        <v>38</v>
      </c>
      <c r="J38" s="14" t="s">
        <v>246</v>
      </c>
      <c r="M38">
        <f>IF(Tabela1[[#This Row],[Qtd Filhos]]&gt;=8,1,0)</f>
        <v>0</v>
      </c>
      <c r="N38">
        <f>IF(Tabela1[[#This Row],[Idade]]&gt;50,1,0)</f>
        <v>1</v>
      </c>
      <c r="O38">
        <f>YEAR(Tabela1[[#This Row],[Data Nasc.]])</f>
        <v>1962</v>
      </c>
    </row>
    <row r="39" spans="4:15" x14ac:dyDescent="0.25">
      <c r="D39" s="11">
        <f>COUNTIF(Planilha1!P:P,"Não")</f>
        <v>346</v>
      </c>
      <c r="I39" s="14">
        <f>MATCH(J39,J:J,0)</f>
        <v>14</v>
      </c>
      <c r="J39" s="14" t="s">
        <v>184</v>
      </c>
      <c r="M39">
        <f>IF(Tabela1[[#This Row],[Qtd Filhos]]&gt;=8,1,0)</f>
        <v>0</v>
      </c>
      <c r="N39">
        <f>IF(Tabela1[[#This Row],[Idade]]&gt;50,1,0)</f>
        <v>0</v>
      </c>
      <c r="O39">
        <f>YEAR(Tabela1[[#This Row],[Data Nasc.]])</f>
        <v>2000</v>
      </c>
    </row>
    <row r="40" spans="4:15" x14ac:dyDescent="0.25">
      <c r="D40" s="11" t="s">
        <v>4746</v>
      </c>
      <c r="I40" s="14">
        <f>MATCH(J40,J:J,0)</f>
        <v>40</v>
      </c>
      <c r="J40" s="14" t="s">
        <v>173</v>
      </c>
      <c r="M40">
        <f>IF(Tabela1[[#This Row],[Qtd Filhos]]&gt;=8,1,0)</f>
        <v>1</v>
      </c>
      <c r="N40">
        <f>IF(Tabela1[[#This Row],[Idade]]&gt;50,1,0)</f>
        <v>0</v>
      </c>
      <c r="O40">
        <f>YEAR(Tabela1[[#This Row],[Data Nasc.]])</f>
        <v>1985</v>
      </c>
    </row>
    <row r="41" spans="4:15" x14ac:dyDescent="0.25">
      <c r="D41" s="11">
        <f>SUM(Planilha1!Q:Q)</f>
        <v>871</v>
      </c>
      <c r="I41" s="14">
        <f>MATCH(J41,J:J,0)</f>
        <v>41</v>
      </c>
      <c r="J41" s="14" t="s">
        <v>253</v>
      </c>
      <c r="M41">
        <f>IF(Tabela1[[#This Row],[Qtd Filhos]]&gt;=8,1,0)</f>
        <v>0</v>
      </c>
      <c r="N41">
        <f>IF(Tabela1[[#This Row],[Idade]]&gt;50,1,0)</f>
        <v>0</v>
      </c>
      <c r="O41">
        <f>YEAR(Tabela1[[#This Row],[Data Nasc.]])</f>
        <v>2005</v>
      </c>
    </row>
    <row r="42" spans="4:15" x14ac:dyDescent="0.25">
      <c r="D42" s="11" t="s">
        <v>4747</v>
      </c>
      <c r="I42" s="14">
        <f>MATCH(J42,J:J,0)</f>
        <v>42</v>
      </c>
      <c r="J42" s="14" t="s">
        <v>220</v>
      </c>
      <c r="M42">
        <f>IF(Tabela1[[#This Row],[Qtd Filhos]]&gt;=8,1,0)</f>
        <v>0</v>
      </c>
      <c r="N42">
        <f>IF(Tabela1[[#This Row],[Idade]]&gt;50,1,0)</f>
        <v>0</v>
      </c>
      <c r="O42">
        <f>YEAR(Tabela1[[#This Row],[Data Nasc.]])</f>
        <v>2004</v>
      </c>
    </row>
    <row r="43" spans="4:15" x14ac:dyDescent="0.25">
      <c r="D43" s="11">
        <f>COUNTIF(Planilha1!Q:Q,1)</f>
        <v>215</v>
      </c>
      <c r="I43" s="14">
        <f>MATCH(J43,J:J,0)</f>
        <v>43</v>
      </c>
      <c r="J43" s="14" t="s">
        <v>154</v>
      </c>
      <c r="M43">
        <f>IF(Tabela1[[#This Row],[Qtd Filhos]]&gt;=8,1,0)</f>
        <v>0</v>
      </c>
      <c r="N43">
        <f>IF(Tabela1[[#This Row],[Idade]]&gt;50,1,0)</f>
        <v>0</v>
      </c>
      <c r="O43">
        <f>YEAR(Tabela1[[#This Row],[Data Nasc.]])</f>
        <v>1985</v>
      </c>
    </row>
    <row r="44" spans="4:15" x14ac:dyDescent="0.25">
      <c r="D44" s="11" t="s">
        <v>4748</v>
      </c>
      <c r="I44" s="14">
        <f>MATCH(J44,J:J,0)</f>
        <v>8</v>
      </c>
      <c r="J44" s="14" t="s">
        <v>192</v>
      </c>
      <c r="M44">
        <f>IF(Tabela1[[#This Row],[Qtd Filhos]]&gt;=8,1,0)</f>
        <v>0</v>
      </c>
      <c r="N44">
        <f>IF(Tabela1[[#This Row],[Idade]]&gt;50,1,0)</f>
        <v>0</v>
      </c>
      <c r="O44">
        <f>YEAR(Tabela1[[#This Row],[Data Nasc.]])</f>
        <v>1980</v>
      </c>
    </row>
    <row r="45" spans="4:15" x14ac:dyDescent="0.25">
      <c r="D45" s="11">
        <f>COUNTIF(Planilha1!Q:Q,4)+COUNTIF(Planilha1!Q:Q,5)+COUNTIF(Planilha1!Q:Q,6)+COUNTIF(Planilha1!Q:Q,7)</f>
        <v>38</v>
      </c>
      <c r="I45" s="14">
        <f>MATCH(J45,J:J,0)</f>
        <v>45</v>
      </c>
      <c r="J45" s="14" t="s">
        <v>149</v>
      </c>
      <c r="M45">
        <f>IF(Tabela1[[#This Row],[Qtd Filhos]]&gt;=8,1,0)</f>
        <v>0</v>
      </c>
      <c r="N45">
        <f>IF(Tabela1[[#This Row],[Idade]]&gt;50,1,0)</f>
        <v>1</v>
      </c>
      <c r="O45">
        <f>YEAR(Tabela1[[#This Row],[Data Nasc.]])</f>
        <v>1966</v>
      </c>
    </row>
    <row r="46" spans="4:15" x14ac:dyDescent="0.25">
      <c r="D46" s="11" t="s">
        <v>4749</v>
      </c>
      <c r="I46" s="14">
        <f>MATCH(J46,J:J,0)</f>
        <v>46</v>
      </c>
      <c r="J46" s="14" t="s">
        <v>52</v>
      </c>
      <c r="M46">
        <f>IF(Tabela1[[#This Row],[Qtd Filhos]]&gt;=8,1,0)</f>
        <v>0</v>
      </c>
      <c r="N46">
        <f>IF(Tabela1[[#This Row],[Idade]]&gt;50,1,0)</f>
        <v>0</v>
      </c>
      <c r="O46">
        <f>YEAR(Tabela1[[#This Row],[Data Nasc.]])</f>
        <v>1985</v>
      </c>
    </row>
    <row r="47" spans="4:15" x14ac:dyDescent="0.25">
      <c r="D47" s="11">
        <f>SUM(M:M)</f>
        <v>9</v>
      </c>
      <c r="I47" s="14">
        <f>MATCH(J47,J:J,0)</f>
        <v>6</v>
      </c>
      <c r="J47" s="14" t="s">
        <v>289</v>
      </c>
      <c r="M47">
        <f>IF(Tabela1[[#This Row],[Qtd Filhos]]&gt;=8,1,0)</f>
        <v>0</v>
      </c>
      <c r="N47">
        <f>IF(Tabela1[[#This Row],[Idade]]&gt;50,1,0)</f>
        <v>0</v>
      </c>
      <c r="O47">
        <f>YEAR(Tabela1[[#This Row],[Data Nasc.]])</f>
        <v>1977</v>
      </c>
    </row>
    <row r="48" spans="4:15" x14ac:dyDescent="0.25">
      <c r="D48" s="11" t="s">
        <v>4750</v>
      </c>
      <c r="I48" s="14">
        <f>MATCH(J48,J:J,0)</f>
        <v>48</v>
      </c>
      <c r="J48" s="14" t="s">
        <v>222</v>
      </c>
      <c r="M48">
        <f>IF(Tabela1[[#This Row],[Qtd Filhos]]&gt;=8,1,0)</f>
        <v>0</v>
      </c>
      <c r="N48">
        <f>IF(Tabela1[[#This Row],[Idade]]&gt;50,1,0)</f>
        <v>1</v>
      </c>
      <c r="O48">
        <f>YEAR(Tabela1[[#This Row],[Data Nasc.]])</f>
        <v>1967</v>
      </c>
    </row>
    <row r="49" spans="4:15" x14ac:dyDescent="0.25">
      <c r="D49" s="7">
        <f>MAX(Planilha1!Q:Q)</f>
        <v>15</v>
      </c>
      <c r="I49" s="14">
        <f>MATCH(J49,J:J,0)</f>
        <v>49</v>
      </c>
      <c r="J49" s="14" t="s">
        <v>205</v>
      </c>
      <c r="M49">
        <f>IF(Tabela1[[#This Row],[Qtd Filhos]]&gt;=8,1,0)</f>
        <v>0</v>
      </c>
      <c r="N49">
        <f>IF(Tabela1[[#This Row],[Idade]]&gt;50,1,0)</f>
        <v>1</v>
      </c>
      <c r="O49">
        <f>YEAR(Tabela1[[#This Row],[Data Nasc.]])</f>
        <v>1965</v>
      </c>
    </row>
    <row r="50" spans="4:15" ht="15.75" x14ac:dyDescent="0.25">
      <c r="D50" s="10" t="s">
        <v>4751</v>
      </c>
      <c r="I50" s="14">
        <f>MATCH(J50,J:J,0)</f>
        <v>50</v>
      </c>
      <c r="J50" s="14" t="s">
        <v>37</v>
      </c>
      <c r="M50">
        <f>IF(Tabela1[[#This Row],[Qtd Filhos]]&gt;=8,1,0)</f>
        <v>0</v>
      </c>
      <c r="N50">
        <f>IF(Tabela1[[#This Row],[Idade]]&gt;50,1,0)</f>
        <v>0</v>
      </c>
      <c r="O50">
        <f>YEAR(Tabela1[[#This Row],[Data Nasc.]])</f>
        <v>1976</v>
      </c>
    </row>
    <row r="51" spans="4:15" x14ac:dyDescent="0.25">
      <c r="D51" s="11"/>
      <c r="I51" s="14">
        <f>MATCH(J51,J:J,0)</f>
        <v>38</v>
      </c>
      <c r="J51" s="14" t="s">
        <v>246</v>
      </c>
      <c r="M51">
        <f>IF(Tabela1[[#This Row],[Qtd Filhos]]&gt;=8,1,0)</f>
        <v>0</v>
      </c>
      <c r="N51">
        <f>IF(Tabela1[[#This Row],[Idade]]&gt;50,1,0)</f>
        <v>0</v>
      </c>
      <c r="O51">
        <f>YEAR(Tabela1[[#This Row],[Data Nasc.]])</f>
        <v>1993</v>
      </c>
    </row>
    <row r="52" spans="4:15" x14ac:dyDescent="0.25">
      <c r="D52" s="11" t="s">
        <v>4752</v>
      </c>
      <c r="I52" s="14">
        <f>MATCH(J52,J:J,0)</f>
        <v>37</v>
      </c>
      <c r="J52" s="14" t="s">
        <v>147</v>
      </c>
      <c r="M52">
        <f>IF(Tabela1[[#This Row],[Qtd Filhos]]&gt;=8,1,0)</f>
        <v>0</v>
      </c>
      <c r="N52">
        <f>IF(Tabela1[[#This Row],[Idade]]&gt;50,1,0)</f>
        <v>0</v>
      </c>
      <c r="O52">
        <f>YEAR(Tabela1[[#This Row],[Data Nasc.]])</f>
        <v>1992</v>
      </c>
    </row>
    <row r="53" spans="4:15" x14ac:dyDescent="0.25">
      <c r="D53" s="11">
        <f>COUNTIF(Planilha1!K:K, "* Silva")</f>
        <v>4</v>
      </c>
      <c r="I53" s="14">
        <f>MATCH(J53,J:J,0)</f>
        <v>53</v>
      </c>
      <c r="J53" s="14" t="s">
        <v>271</v>
      </c>
      <c r="M53">
        <f>IF(Tabela1[[#This Row],[Qtd Filhos]]&gt;=8,1,0)</f>
        <v>0</v>
      </c>
      <c r="N53">
        <f>IF(Tabela1[[#This Row],[Idade]]&gt;50,1,0)</f>
        <v>0</v>
      </c>
      <c r="O53">
        <f>YEAR(Tabela1[[#This Row],[Data Nasc.]])</f>
        <v>1994</v>
      </c>
    </row>
    <row r="54" spans="4:15" x14ac:dyDescent="0.25">
      <c r="D54" s="11" t="s">
        <v>4753</v>
      </c>
      <c r="I54" s="14">
        <f>MATCH(J54,J:J,0)</f>
        <v>54</v>
      </c>
      <c r="J54" s="14" t="s">
        <v>125</v>
      </c>
      <c r="M54">
        <f>IF(Tabela1[[#This Row],[Qtd Filhos]]&gt;=8,1,0)</f>
        <v>0</v>
      </c>
      <c r="N54">
        <f>IF(Tabela1[[#This Row],[Idade]]&gt;50,1,0)</f>
        <v>1</v>
      </c>
      <c r="O54">
        <f>YEAR(Tabela1[[#This Row],[Data Nasc.]])</f>
        <v>1965</v>
      </c>
    </row>
    <row r="55" spans="4:15" x14ac:dyDescent="0.25">
      <c r="D55" s="13">
        <f>COUNTIF(Planilha1!N:N,"Advogado")</f>
        <v>26</v>
      </c>
      <c r="I55" s="14">
        <f>MATCH(J55,J:J,0)</f>
        <v>55</v>
      </c>
      <c r="J55" s="14" t="s">
        <v>197</v>
      </c>
      <c r="M55">
        <f>IF(Tabela1[[#This Row],[Qtd Filhos]]&gt;=8,1,0)</f>
        <v>0</v>
      </c>
      <c r="N55">
        <f>IF(Tabela1[[#This Row],[Idade]]&gt;50,1,0)</f>
        <v>1</v>
      </c>
      <c r="O55">
        <f>YEAR(Tabela1[[#This Row],[Data Nasc.]])</f>
        <v>1971</v>
      </c>
    </row>
    <row r="56" spans="4:15" x14ac:dyDescent="0.25">
      <c r="I56" s="14">
        <f>MATCH(J56,J:J,0)</f>
        <v>56</v>
      </c>
      <c r="J56" s="14" t="s">
        <v>18</v>
      </c>
      <c r="M56">
        <f>IF(Tabela1[[#This Row],[Qtd Filhos]]&gt;=8,1,0)</f>
        <v>0</v>
      </c>
      <c r="N56">
        <f>IF(Tabela1[[#This Row],[Idade]]&gt;50,1,0)</f>
        <v>0</v>
      </c>
      <c r="O56">
        <f>YEAR(Tabela1[[#This Row],[Data Nasc.]])</f>
        <v>1999</v>
      </c>
    </row>
    <row r="57" spans="4:15" x14ac:dyDescent="0.25">
      <c r="I57" s="14">
        <f>MATCH(J57,J:J,0)</f>
        <v>57</v>
      </c>
      <c r="J57" s="14" t="s">
        <v>195</v>
      </c>
      <c r="M57">
        <f>IF(Tabela1[[#This Row],[Qtd Filhos]]&gt;=8,1,0)</f>
        <v>0</v>
      </c>
      <c r="N57">
        <f>IF(Tabela1[[#This Row],[Idade]]&gt;50,1,0)</f>
        <v>0</v>
      </c>
      <c r="O57">
        <f>YEAR(Tabela1[[#This Row],[Data Nasc.]])</f>
        <v>1985</v>
      </c>
    </row>
    <row r="58" spans="4:15" x14ac:dyDescent="0.25">
      <c r="I58" s="14">
        <f>MATCH(J58,J:J,0)</f>
        <v>58</v>
      </c>
      <c r="J58" s="14" t="s">
        <v>116</v>
      </c>
      <c r="M58">
        <f>IF(Tabela1[[#This Row],[Qtd Filhos]]&gt;=8,1,0)</f>
        <v>0</v>
      </c>
      <c r="N58">
        <f>IF(Tabela1[[#This Row],[Idade]]&gt;50,1,0)</f>
        <v>0</v>
      </c>
      <c r="O58">
        <f>YEAR(Tabela1[[#This Row],[Data Nasc.]])</f>
        <v>1985</v>
      </c>
    </row>
    <row r="59" spans="4:15" x14ac:dyDescent="0.25">
      <c r="I59" s="14">
        <f>MATCH(J59,J:J,0)</f>
        <v>29</v>
      </c>
      <c r="J59" s="14" t="s">
        <v>209</v>
      </c>
      <c r="M59">
        <f>IF(Tabela1[[#This Row],[Qtd Filhos]]&gt;=8,1,0)</f>
        <v>0</v>
      </c>
      <c r="N59">
        <f>IF(Tabela1[[#This Row],[Idade]]&gt;50,1,0)</f>
        <v>0</v>
      </c>
      <c r="O59">
        <f>YEAR(Tabela1[[#This Row],[Data Nasc.]])</f>
        <v>1977</v>
      </c>
    </row>
    <row r="60" spans="4:15" x14ac:dyDescent="0.25">
      <c r="I60" s="14">
        <f>MATCH(J60,J:J,0)</f>
        <v>8</v>
      </c>
      <c r="J60" s="14" t="s">
        <v>192</v>
      </c>
      <c r="M60">
        <f>IF(Tabela1[[#This Row],[Qtd Filhos]]&gt;=8,1,0)</f>
        <v>0</v>
      </c>
      <c r="N60">
        <f>IF(Tabela1[[#This Row],[Idade]]&gt;50,1,0)</f>
        <v>0</v>
      </c>
      <c r="O60">
        <f>YEAR(Tabela1[[#This Row],[Data Nasc.]])</f>
        <v>2007</v>
      </c>
    </row>
    <row r="61" spans="4:15" x14ac:dyDescent="0.25">
      <c r="I61" s="14">
        <f>MATCH(J61,J:J,0)</f>
        <v>24</v>
      </c>
      <c r="J61" s="14" t="s">
        <v>225</v>
      </c>
      <c r="M61">
        <f>IF(Tabela1[[#This Row],[Qtd Filhos]]&gt;=8,1,0)</f>
        <v>0</v>
      </c>
      <c r="N61">
        <f>IF(Tabela1[[#This Row],[Idade]]&gt;50,1,0)</f>
        <v>0</v>
      </c>
      <c r="O61">
        <f>YEAR(Tabela1[[#This Row],[Data Nasc.]])</f>
        <v>2000</v>
      </c>
    </row>
    <row r="62" spans="4:15" x14ac:dyDescent="0.25">
      <c r="I62" s="14">
        <f>MATCH(J62,J:J,0)</f>
        <v>62</v>
      </c>
      <c r="J62" s="14" t="s">
        <v>261</v>
      </c>
      <c r="M62">
        <f>IF(Tabela1[[#This Row],[Qtd Filhos]]&gt;=8,1,0)</f>
        <v>0</v>
      </c>
      <c r="N62">
        <f>IF(Tabela1[[#This Row],[Idade]]&gt;50,1,0)</f>
        <v>1</v>
      </c>
      <c r="O62">
        <f>YEAR(Tabela1[[#This Row],[Data Nasc.]])</f>
        <v>1967</v>
      </c>
    </row>
    <row r="63" spans="4:15" x14ac:dyDescent="0.25">
      <c r="I63" s="14">
        <f>MATCH(J63,J:J,0)</f>
        <v>63</v>
      </c>
      <c r="J63" s="14" t="s">
        <v>279</v>
      </c>
      <c r="M63">
        <f>IF(Tabela1[[#This Row],[Qtd Filhos]]&gt;=8,1,0)</f>
        <v>0</v>
      </c>
      <c r="N63">
        <f>IF(Tabela1[[#This Row],[Idade]]&gt;50,1,0)</f>
        <v>0</v>
      </c>
      <c r="O63">
        <f>YEAR(Tabela1[[#This Row],[Data Nasc.]])</f>
        <v>1981</v>
      </c>
    </row>
    <row r="64" spans="4:15" x14ac:dyDescent="0.25">
      <c r="I64" s="14">
        <f>MATCH(J64,J:J,0)</f>
        <v>34</v>
      </c>
      <c r="J64" s="14" t="s">
        <v>235</v>
      </c>
      <c r="M64">
        <f>IF(Tabela1[[#This Row],[Qtd Filhos]]&gt;=8,1,0)</f>
        <v>0</v>
      </c>
      <c r="N64">
        <f>IF(Tabela1[[#This Row],[Idade]]&gt;50,1,0)</f>
        <v>0</v>
      </c>
      <c r="O64">
        <f>YEAR(Tabela1[[#This Row],[Data Nasc.]])</f>
        <v>1989</v>
      </c>
    </row>
    <row r="65" spans="9:15" x14ac:dyDescent="0.25">
      <c r="I65" s="14">
        <f>MATCH(J65,J:J,0)</f>
        <v>65</v>
      </c>
      <c r="J65" s="14" t="s">
        <v>64</v>
      </c>
      <c r="M65">
        <f>IF(Tabela1[[#This Row],[Qtd Filhos]]&gt;=8,1,0)</f>
        <v>0</v>
      </c>
      <c r="N65">
        <f>IF(Tabela1[[#This Row],[Idade]]&gt;50,1,0)</f>
        <v>0</v>
      </c>
      <c r="O65">
        <f>YEAR(Tabela1[[#This Row],[Data Nasc.]])</f>
        <v>1988</v>
      </c>
    </row>
    <row r="66" spans="9:15" x14ac:dyDescent="0.25">
      <c r="I66" s="14">
        <f>MATCH(J66,J:J,0)</f>
        <v>66</v>
      </c>
      <c r="J66" s="14" t="s">
        <v>139</v>
      </c>
      <c r="M66">
        <f>IF(Tabela1[[#This Row],[Qtd Filhos]]&gt;=8,1,0)</f>
        <v>0</v>
      </c>
      <c r="N66">
        <f>IF(Tabela1[[#This Row],[Idade]]&gt;50,1,0)</f>
        <v>0</v>
      </c>
      <c r="O66">
        <f>YEAR(Tabela1[[#This Row],[Data Nasc.]])</f>
        <v>2001</v>
      </c>
    </row>
    <row r="67" spans="9:15" x14ac:dyDescent="0.25">
      <c r="I67" s="14">
        <f>MATCH(J67,J:J,0)</f>
        <v>50</v>
      </c>
      <c r="J67" s="14" t="s">
        <v>37</v>
      </c>
      <c r="M67">
        <f>IF(Tabela1[[#This Row],[Qtd Filhos]]&gt;=8,1,0)</f>
        <v>0</v>
      </c>
      <c r="N67">
        <f>IF(Tabela1[[#This Row],[Idade]]&gt;50,1,0)</f>
        <v>1</v>
      </c>
      <c r="O67">
        <f>YEAR(Tabela1[[#This Row],[Data Nasc.]])</f>
        <v>1963</v>
      </c>
    </row>
    <row r="68" spans="9:15" x14ac:dyDescent="0.25">
      <c r="I68" s="14">
        <f>MATCH(J68,J:J,0)</f>
        <v>68</v>
      </c>
      <c r="J68" s="14" t="s">
        <v>285</v>
      </c>
      <c r="M68">
        <f>IF(Tabela1[[#This Row],[Qtd Filhos]]&gt;=8,1,0)</f>
        <v>0</v>
      </c>
      <c r="N68">
        <f>IF(Tabela1[[#This Row],[Idade]]&gt;50,1,0)</f>
        <v>1</v>
      </c>
      <c r="O68">
        <f>YEAR(Tabela1[[#This Row],[Data Nasc.]])</f>
        <v>1964</v>
      </c>
    </row>
    <row r="69" spans="9:15" x14ac:dyDescent="0.25">
      <c r="I69" s="14">
        <f>MATCH(J69,J:J,0)</f>
        <v>69</v>
      </c>
      <c r="J69" s="14" t="s">
        <v>160</v>
      </c>
      <c r="M69">
        <f>IF(Tabela1[[#This Row],[Qtd Filhos]]&gt;=8,1,0)</f>
        <v>0</v>
      </c>
      <c r="N69">
        <f>IF(Tabela1[[#This Row],[Idade]]&gt;50,1,0)</f>
        <v>1</v>
      </c>
      <c r="O69">
        <f>YEAR(Tabela1[[#This Row],[Data Nasc.]])</f>
        <v>1973</v>
      </c>
    </row>
    <row r="70" spans="9:15" x14ac:dyDescent="0.25">
      <c r="I70" s="14">
        <f>MATCH(J70,J:J,0)</f>
        <v>70</v>
      </c>
      <c r="J70" s="14" t="s">
        <v>84</v>
      </c>
      <c r="M70">
        <f>IF(Tabela1[[#This Row],[Qtd Filhos]]&gt;=8,1,0)</f>
        <v>0</v>
      </c>
      <c r="N70">
        <f>IF(Tabela1[[#This Row],[Idade]]&gt;50,1,0)</f>
        <v>0</v>
      </c>
      <c r="O70">
        <f>YEAR(Tabela1[[#This Row],[Data Nasc.]])</f>
        <v>1992</v>
      </c>
    </row>
    <row r="71" spans="9:15" x14ac:dyDescent="0.25">
      <c r="I71" s="14">
        <f>MATCH(J71,J:J,0)</f>
        <v>71</v>
      </c>
      <c r="J71" s="14" t="s">
        <v>134</v>
      </c>
      <c r="M71">
        <f>IF(Tabela1[[#This Row],[Qtd Filhos]]&gt;=8,1,0)</f>
        <v>0</v>
      </c>
      <c r="N71">
        <f>IF(Tabela1[[#This Row],[Idade]]&gt;50,1,0)</f>
        <v>1</v>
      </c>
      <c r="O71">
        <f>YEAR(Tabela1[[#This Row],[Data Nasc.]])</f>
        <v>1975</v>
      </c>
    </row>
    <row r="72" spans="9:15" x14ac:dyDescent="0.25">
      <c r="I72" s="14">
        <f>MATCH(J72,J:J,0)</f>
        <v>72</v>
      </c>
      <c r="J72" s="14" t="s">
        <v>179</v>
      </c>
      <c r="M72">
        <f>IF(Tabela1[[#This Row],[Qtd Filhos]]&gt;=8,1,0)</f>
        <v>0</v>
      </c>
      <c r="N72">
        <f>IF(Tabela1[[#This Row],[Idade]]&gt;50,1,0)</f>
        <v>0</v>
      </c>
      <c r="O72">
        <f>YEAR(Tabela1[[#This Row],[Data Nasc.]])</f>
        <v>1991</v>
      </c>
    </row>
    <row r="73" spans="9:15" x14ac:dyDescent="0.25">
      <c r="I73" s="14">
        <f>MATCH(J73,J:J,0)</f>
        <v>11</v>
      </c>
      <c r="J73" s="14" t="s">
        <v>166</v>
      </c>
      <c r="M73">
        <f>IF(Tabela1[[#This Row],[Qtd Filhos]]&gt;=8,1,0)</f>
        <v>0</v>
      </c>
      <c r="N73">
        <f>IF(Tabela1[[#This Row],[Idade]]&gt;50,1,0)</f>
        <v>1</v>
      </c>
      <c r="O73">
        <f>YEAR(Tabela1[[#This Row],[Data Nasc.]])</f>
        <v>1968</v>
      </c>
    </row>
    <row r="74" spans="9:15" x14ac:dyDescent="0.25">
      <c r="I74" s="14">
        <f>MATCH(J74,J:J,0)</f>
        <v>46</v>
      </c>
      <c r="J74" s="14" t="s">
        <v>52</v>
      </c>
      <c r="M74">
        <f>IF(Tabela1[[#This Row],[Qtd Filhos]]&gt;=8,1,0)</f>
        <v>0</v>
      </c>
      <c r="N74">
        <f>IF(Tabela1[[#This Row],[Idade]]&gt;50,1,0)</f>
        <v>1</v>
      </c>
      <c r="O74">
        <f>YEAR(Tabela1[[#This Row],[Data Nasc.]])</f>
        <v>1973</v>
      </c>
    </row>
    <row r="75" spans="9:15" x14ac:dyDescent="0.25">
      <c r="I75" s="14">
        <f>MATCH(J75,J:J,0)</f>
        <v>75</v>
      </c>
      <c r="J75" s="14" t="s">
        <v>70</v>
      </c>
      <c r="M75">
        <f>IF(Tabela1[[#This Row],[Qtd Filhos]]&gt;=8,1,0)</f>
        <v>0</v>
      </c>
      <c r="N75">
        <f>IF(Tabela1[[#This Row],[Idade]]&gt;50,1,0)</f>
        <v>1</v>
      </c>
      <c r="O75">
        <f>YEAR(Tabela1[[#This Row],[Data Nasc.]])</f>
        <v>1961</v>
      </c>
    </row>
    <row r="76" spans="9:15" x14ac:dyDescent="0.25">
      <c r="I76" s="14">
        <f>MATCH(J76,J:J,0)</f>
        <v>76</v>
      </c>
      <c r="J76" s="14" t="s">
        <v>251</v>
      </c>
      <c r="M76">
        <f>IF(Tabela1[[#This Row],[Qtd Filhos]]&gt;=8,1,0)</f>
        <v>0</v>
      </c>
      <c r="N76">
        <f>IF(Tabela1[[#This Row],[Idade]]&gt;50,1,0)</f>
        <v>1</v>
      </c>
      <c r="O76">
        <f>YEAR(Tabela1[[#This Row],[Data Nasc.]])</f>
        <v>1966</v>
      </c>
    </row>
    <row r="77" spans="9:15" x14ac:dyDescent="0.25">
      <c r="I77" s="14">
        <f>MATCH(J77,J:J,0)</f>
        <v>77</v>
      </c>
      <c r="J77" s="14" t="s">
        <v>132</v>
      </c>
      <c r="M77">
        <f>IF(Tabela1[[#This Row],[Qtd Filhos]]&gt;=8,1,0)</f>
        <v>0</v>
      </c>
      <c r="N77">
        <f>IF(Tabela1[[#This Row],[Idade]]&gt;50,1,0)</f>
        <v>0</v>
      </c>
      <c r="O77">
        <f>YEAR(Tabela1[[#This Row],[Data Nasc.]])</f>
        <v>2000</v>
      </c>
    </row>
    <row r="78" spans="9:15" x14ac:dyDescent="0.25">
      <c r="I78" s="14">
        <f>MATCH(J78,J:J,0)</f>
        <v>29</v>
      </c>
      <c r="J78" s="14" t="s">
        <v>209</v>
      </c>
      <c r="M78">
        <f>IF(Tabela1[[#This Row],[Qtd Filhos]]&gt;=8,1,0)</f>
        <v>0</v>
      </c>
      <c r="N78">
        <f>IF(Tabela1[[#This Row],[Idade]]&gt;50,1,0)</f>
        <v>0</v>
      </c>
      <c r="O78">
        <f>YEAR(Tabela1[[#This Row],[Data Nasc.]])</f>
        <v>1989</v>
      </c>
    </row>
    <row r="79" spans="9:15" x14ac:dyDescent="0.25">
      <c r="I79" s="14">
        <f>MATCH(J79,J:J,0)</f>
        <v>26</v>
      </c>
      <c r="J79" s="14" t="s">
        <v>287</v>
      </c>
      <c r="M79">
        <f>IF(Tabela1[[#This Row],[Qtd Filhos]]&gt;=8,1,0)</f>
        <v>0</v>
      </c>
      <c r="N79">
        <f>IF(Tabela1[[#This Row],[Idade]]&gt;50,1,0)</f>
        <v>0</v>
      </c>
      <c r="O79">
        <f>YEAR(Tabela1[[#This Row],[Data Nasc.]])</f>
        <v>1992</v>
      </c>
    </row>
    <row r="80" spans="9:15" x14ac:dyDescent="0.25">
      <c r="I80" s="14">
        <f>MATCH(J80,J:J,0)</f>
        <v>55</v>
      </c>
      <c r="J80" s="14" t="s">
        <v>197</v>
      </c>
      <c r="M80">
        <f>IF(Tabela1[[#This Row],[Qtd Filhos]]&gt;=8,1,0)</f>
        <v>0</v>
      </c>
      <c r="N80">
        <f>IF(Tabela1[[#This Row],[Idade]]&gt;50,1,0)</f>
        <v>1</v>
      </c>
      <c r="O80">
        <f>YEAR(Tabela1[[#This Row],[Data Nasc.]])</f>
        <v>1968</v>
      </c>
    </row>
    <row r="81" spans="9:15" x14ac:dyDescent="0.25">
      <c r="I81" s="14">
        <f>MATCH(J81,J:J,0)</f>
        <v>81</v>
      </c>
      <c r="J81" s="14" t="s">
        <v>86</v>
      </c>
      <c r="M81">
        <f>IF(Tabela1[[#This Row],[Qtd Filhos]]&gt;=8,1,0)</f>
        <v>0</v>
      </c>
      <c r="N81">
        <f>IF(Tabela1[[#This Row],[Idade]]&gt;50,1,0)</f>
        <v>0</v>
      </c>
      <c r="O81">
        <f>YEAR(Tabela1[[#This Row],[Data Nasc.]])</f>
        <v>1996</v>
      </c>
    </row>
    <row r="82" spans="9:15" x14ac:dyDescent="0.25">
      <c r="I82" s="14">
        <f>MATCH(J82,J:J,0)</f>
        <v>55</v>
      </c>
      <c r="J82" s="14" t="s">
        <v>197</v>
      </c>
      <c r="M82">
        <f>IF(Tabela1[[#This Row],[Qtd Filhos]]&gt;=8,1,0)</f>
        <v>0</v>
      </c>
      <c r="N82">
        <f>IF(Tabela1[[#This Row],[Idade]]&gt;50,1,0)</f>
        <v>0</v>
      </c>
      <c r="O82">
        <f>YEAR(Tabela1[[#This Row],[Data Nasc.]])</f>
        <v>2006</v>
      </c>
    </row>
    <row r="83" spans="9:15" x14ac:dyDescent="0.25">
      <c r="I83" s="14">
        <f>MATCH(J83,J:J,0)</f>
        <v>83</v>
      </c>
      <c r="J83" s="14" t="s">
        <v>175</v>
      </c>
      <c r="M83">
        <f>IF(Tabela1[[#This Row],[Qtd Filhos]]&gt;=8,1,0)</f>
        <v>0</v>
      </c>
      <c r="N83">
        <f>IF(Tabela1[[#This Row],[Idade]]&gt;50,1,0)</f>
        <v>1</v>
      </c>
      <c r="O83">
        <f>YEAR(Tabela1[[#This Row],[Data Nasc.]])</f>
        <v>1966</v>
      </c>
    </row>
    <row r="84" spans="9:15" x14ac:dyDescent="0.25">
      <c r="I84" s="14">
        <f>MATCH(J84,J:J,0)</f>
        <v>49</v>
      </c>
      <c r="J84" s="14" t="s">
        <v>205</v>
      </c>
      <c r="M84">
        <f>IF(Tabela1[[#This Row],[Qtd Filhos]]&gt;=8,1,0)</f>
        <v>0</v>
      </c>
      <c r="N84">
        <f>IF(Tabela1[[#This Row],[Idade]]&gt;50,1,0)</f>
        <v>1</v>
      </c>
      <c r="O84">
        <f>YEAR(Tabela1[[#This Row],[Data Nasc.]])</f>
        <v>1971</v>
      </c>
    </row>
    <row r="85" spans="9:15" x14ac:dyDescent="0.25">
      <c r="I85" s="14">
        <f>MATCH(J85,J:J,0)</f>
        <v>85</v>
      </c>
      <c r="J85" s="14" t="s">
        <v>101</v>
      </c>
      <c r="M85">
        <f>IF(Tabela1[[#This Row],[Qtd Filhos]]&gt;=8,1,0)</f>
        <v>0</v>
      </c>
      <c r="N85">
        <f>IF(Tabela1[[#This Row],[Idade]]&gt;50,1,0)</f>
        <v>1</v>
      </c>
      <c r="O85">
        <f>YEAR(Tabela1[[#This Row],[Data Nasc.]])</f>
        <v>1970</v>
      </c>
    </row>
    <row r="86" spans="9:15" x14ac:dyDescent="0.25">
      <c r="I86" s="14">
        <f>MATCH(J86,J:J,0)</f>
        <v>86</v>
      </c>
      <c r="J86" s="14" t="s">
        <v>128</v>
      </c>
      <c r="M86">
        <f>IF(Tabela1[[#This Row],[Qtd Filhos]]&gt;=8,1,0)</f>
        <v>0</v>
      </c>
      <c r="N86">
        <f>IF(Tabela1[[#This Row],[Idade]]&gt;50,1,0)</f>
        <v>0</v>
      </c>
      <c r="O86">
        <f>YEAR(Tabela1[[#This Row],[Data Nasc.]])</f>
        <v>1987</v>
      </c>
    </row>
    <row r="87" spans="9:15" x14ac:dyDescent="0.25">
      <c r="I87" s="14">
        <f>MATCH(J87,J:J,0)</f>
        <v>87</v>
      </c>
      <c r="J87" s="14" t="s">
        <v>95</v>
      </c>
      <c r="M87">
        <f>IF(Tabela1[[#This Row],[Qtd Filhos]]&gt;=8,1,0)</f>
        <v>0</v>
      </c>
      <c r="N87">
        <f>IF(Tabela1[[#This Row],[Idade]]&gt;50,1,0)</f>
        <v>1</v>
      </c>
      <c r="O87">
        <f>YEAR(Tabela1[[#This Row],[Data Nasc.]])</f>
        <v>1962</v>
      </c>
    </row>
    <row r="88" spans="9:15" x14ac:dyDescent="0.25">
      <c r="I88" s="14">
        <f>MATCH(J88,J:J,0)</f>
        <v>12</v>
      </c>
      <c r="J88" s="14" t="s">
        <v>273</v>
      </c>
      <c r="M88">
        <f>IF(Tabela1[[#This Row],[Qtd Filhos]]&gt;=8,1,0)</f>
        <v>0</v>
      </c>
      <c r="N88">
        <f>IF(Tabela1[[#This Row],[Idade]]&gt;50,1,0)</f>
        <v>0</v>
      </c>
      <c r="O88">
        <f>YEAR(Tabela1[[#This Row],[Data Nasc.]])</f>
        <v>2002</v>
      </c>
    </row>
    <row r="89" spans="9:15" x14ac:dyDescent="0.25">
      <c r="I89" s="14">
        <f>MATCH(J89,J:J,0)</f>
        <v>7</v>
      </c>
      <c r="J89" s="14" t="s">
        <v>118</v>
      </c>
      <c r="M89">
        <f>IF(Tabela1[[#This Row],[Qtd Filhos]]&gt;=8,1,0)</f>
        <v>0</v>
      </c>
      <c r="N89">
        <f>IF(Tabela1[[#This Row],[Idade]]&gt;50,1,0)</f>
        <v>1</v>
      </c>
      <c r="O89">
        <f>YEAR(Tabela1[[#This Row],[Data Nasc.]])</f>
        <v>1969</v>
      </c>
    </row>
    <row r="90" spans="9:15" x14ac:dyDescent="0.25">
      <c r="I90" s="14">
        <f>MATCH(J90,J:J,0)</f>
        <v>26</v>
      </c>
      <c r="J90" s="14" t="s">
        <v>287</v>
      </c>
      <c r="M90">
        <f>IF(Tabela1[[#This Row],[Qtd Filhos]]&gt;=8,1,0)</f>
        <v>0</v>
      </c>
      <c r="N90">
        <f>IF(Tabela1[[#This Row],[Idade]]&gt;50,1,0)</f>
        <v>0</v>
      </c>
      <c r="O90">
        <f>YEAR(Tabela1[[#This Row],[Data Nasc.]])</f>
        <v>1997</v>
      </c>
    </row>
    <row r="91" spans="9:15" x14ac:dyDescent="0.25">
      <c r="I91" s="14">
        <f>MATCH(J91,J:J,0)</f>
        <v>91</v>
      </c>
      <c r="J91" s="14" t="s">
        <v>248</v>
      </c>
      <c r="M91">
        <f>IF(Tabela1[[#This Row],[Qtd Filhos]]&gt;=8,1,0)</f>
        <v>0</v>
      </c>
      <c r="N91">
        <f>IF(Tabela1[[#This Row],[Idade]]&gt;50,1,0)</f>
        <v>0</v>
      </c>
      <c r="O91">
        <f>YEAR(Tabela1[[#This Row],[Data Nasc.]])</f>
        <v>1990</v>
      </c>
    </row>
    <row r="92" spans="9:15" x14ac:dyDescent="0.25">
      <c r="I92" s="14">
        <f>MATCH(J92,J:J,0)</f>
        <v>43</v>
      </c>
      <c r="J92" s="14" t="s">
        <v>154</v>
      </c>
      <c r="M92">
        <f>IF(Tabela1[[#This Row],[Qtd Filhos]]&gt;=8,1,0)</f>
        <v>0</v>
      </c>
      <c r="N92">
        <f>IF(Tabela1[[#This Row],[Idade]]&gt;50,1,0)</f>
        <v>0</v>
      </c>
      <c r="O92">
        <f>YEAR(Tabela1[[#This Row],[Data Nasc.]])</f>
        <v>1996</v>
      </c>
    </row>
    <row r="93" spans="9:15" x14ac:dyDescent="0.25">
      <c r="I93" s="14">
        <f>MATCH(J93,J:J,0)</f>
        <v>3</v>
      </c>
      <c r="J93" s="14" t="s">
        <v>103</v>
      </c>
      <c r="M93">
        <f>IF(Tabela1[[#This Row],[Qtd Filhos]]&gt;=8,1,0)</f>
        <v>0</v>
      </c>
      <c r="N93">
        <f>IF(Tabela1[[#This Row],[Idade]]&gt;50,1,0)</f>
        <v>0</v>
      </c>
      <c r="O93">
        <f>YEAR(Tabela1[[#This Row],[Data Nasc.]])</f>
        <v>1992</v>
      </c>
    </row>
    <row r="94" spans="9:15" x14ac:dyDescent="0.25">
      <c r="I94" s="14">
        <f>MATCH(J94,J:J,0)</f>
        <v>94</v>
      </c>
      <c r="J94" s="14" t="s">
        <v>293</v>
      </c>
      <c r="M94">
        <f>IF(Tabela1[[#This Row],[Qtd Filhos]]&gt;=8,1,0)</f>
        <v>0</v>
      </c>
      <c r="N94">
        <f>IF(Tabela1[[#This Row],[Idade]]&gt;50,1,0)</f>
        <v>1</v>
      </c>
      <c r="O94">
        <f>YEAR(Tabela1[[#This Row],[Data Nasc.]])</f>
        <v>1967</v>
      </c>
    </row>
    <row r="95" spans="9:15" x14ac:dyDescent="0.25">
      <c r="I95" s="14">
        <f>MATCH(J95,J:J,0)</f>
        <v>19</v>
      </c>
      <c r="J95" s="14" t="s">
        <v>80</v>
      </c>
      <c r="M95">
        <f>IF(Tabela1[[#This Row],[Qtd Filhos]]&gt;=8,1,0)</f>
        <v>0</v>
      </c>
      <c r="N95">
        <f>IF(Tabela1[[#This Row],[Idade]]&gt;50,1,0)</f>
        <v>1</v>
      </c>
      <c r="O95">
        <f>YEAR(Tabela1[[#This Row],[Data Nasc.]])</f>
        <v>1962</v>
      </c>
    </row>
    <row r="96" spans="9:15" x14ac:dyDescent="0.25">
      <c r="I96" s="14">
        <f>MATCH(J96,J:J,0)</f>
        <v>91</v>
      </c>
      <c r="J96" s="14" t="s">
        <v>248</v>
      </c>
      <c r="M96">
        <f>IF(Tabela1[[#This Row],[Qtd Filhos]]&gt;=8,1,0)</f>
        <v>0</v>
      </c>
      <c r="N96">
        <f>IF(Tabela1[[#This Row],[Idade]]&gt;50,1,0)</f>
        <v>0</v>
      </c>
      <c r="O96">
        <f>YEAR(Tabela1[[#This Row],[Data Nasc.]])</f>
        <v>1989</v>
      </c>
    </row>
    <row r="97" spans="9:15" x14ac:dyDescent="0.25">
      <c r="I97" s="14">
        <f>MATCH(J97,J:J,0)</f>
        <v>86</v>
      </c>
      <c r="J97" s="14" t="s">
        <v>128</v>
      </c>
      <c r="M97">
        <f>IF(Tabela1[[#This Row],[Qtd Filhos]]&gt;=8,1,0)</f>
        <v>0</v>
      </c>
      <c r="N97">
        <f>IF(Tabela1[[#This Row],[Idade]]&gt;50,1,0)</f>
        <v>0</v>
      </c>
      <c r="O97">
        <f>YEAR(Tabela1[[#This Row],[Data Nasc.]])</f>
        <v>1980</v>
      </c>
    </row>
    <row r="98" spans="9:15" x14ac:dyDescent="0.25">
      <c r="I98" s="14">
        <f>MATCH(J98,J:J,0)</f>
        <v>98</v>
      </c>
      <c r="J98" s="14" t="s">
        <v>130</v>
      </c>
      <c r="M98">
        <f>IF(Tabela1[[#This Row],[Qtd Filhos]]&gt;=8,1,0)</f>
        <v>0</v>
      </c>
      <c r="N98">
        <f>IF(Tabela1[[#This Row],[Idade]]&gt;50,1,0)</f>
        <v>0</v>
      </c>
      <c r="O98">
        <f>YEAR(Tabela1[[#This Row],[Data Nasc.]])</f>
        <v>1994</v>
      </c>
    </row>
    <row r="99" spans="9:15" x14ac:dyDescent="0.25">
      <c r="I99" s="14">
        <f>MATCH(J99,J:J,0)</f>
        <v>37</v>
      </c>
      <c r="J99" s="14" t="s">
        <v>147</v>
      </c>
      <c r="M99">
        <f>IF(Tabela1[[#This Row],[Qtd Filhos]]&gt;=8,1,0)</f>
        <v>0</v>
      </c>
      <c r="N99">
        <f>IF(Tabela1[[#This Row],[Idade]]&gt;50,1,0)</f>
        <v>0</v>
      </c>
      <c r="O99">
        <f>YEAR(Tabela1[[#This Row],[Data Nasc.]])</f>
        <v>1994</v>
      </c>
    </row>
    <row r="100" spans="9:15" x14ac:dyDescent="0.25">
      <c r="I100" s="14">
        <f>MATCH(J100,J:J,0)</f>
        <v>100</v>
      </c>
      <c r="J100" s="14" t="s">
        <v>238</v>
      </c>
      <c r="M100">
        <f>IF(Tabela1[[#This Row],[Qtd Filhos]]&gt;=8,1,0)</f>
        <v>0</v>
      </c>
      <c r="N100">
        <f>IF(Tabela1[[#This Row],[Idade]]&gt;50,1,0)</f>
        <v>1</v>
      </c>
      <c r="O100">
        <f>YEAR(Tabela1[[#This Row],[Data Nasc.]])</f>
        <v>1968</v>
      </c>
    </row>
    <row r="101" spans="9:15" x14ac:dyDescent="0.25">
      <c r="I101" s="14">
        <f>MATCH(J101,J:J,0)</f>
        <v>70</v>
      </c>
      <c r="J101" s="14" t="s">
        <v>84</v>
      </c>
      <c r="M101">
        <f>IF(Tabela1[[#This Row],[Qtd Filhos]]&gt;=8,1,0)</f>
        <v>0</v>
      </c>
      <c r="N101">
        <f>IF(Tabela1[[#This Row],[Idade]]&gt;50,1,0)</f>
        <v>0</v>
      </c>
      <c r="O101">
        <f>YEAR(Tabela1[[#This Row],[Data Nasc.]])</f>
        <v>2002</v>
      </c>
    </row>
    <row r="102" spans="9:15" x14ac:dyDescent="0.25">
      <c r="I102" s="14">
        <f>MATCH(J102,J:J,0)</f>
        <v>11</v>
      </c>
      <c r="J102" s="14" t="s">
        <v>166</v>
      </c>
      <c r="M102">
        <f>IF(Tabela1[[#This Row],[Qtd Filhos]]&gt;=8,1,0)</f>
        <v>0</v>
      </c>
      <c r="N102">
        <f>IF(Tabela1[[#This Row],[Idade]]&gt;50,1,0)</f>
        <v>0</v>
      </c>
      <c r="O102">
        <f>YEAR(Tabela1[[#This Row],[Data Nasc.]])</f>
        <v>2007</v>
      </c>
    </row>
    <row r="103" spans="9:15" x14ac:dyDescent="0.25">
      <c r="I103" s="14">
        <f>MATCH(J103,J:J,0)</f>
        <v>3</v>
      </c>
      <c r="J103" s="14" t="s">
        <v>103</v>
      </c>
      <c r="M103">
        <f>IF(Tabela1[[#This Row],[Qtd Filhos]]&gt;=8,1,0)</f>
        <v>0</v>
      </c>
      <c r="N103">
        <f>IF(Tabela1[[#This Row],[Idade]]&gt;50,1,0)</f>
        <v>0</v>
      </c>
      <c r="O103">
        <f>YEAR(Tabela1[[#This Row],[Data Nasc.]])</f>
        <v>1985</v>
      </c>
    </row>
    <row r="104" spans="9:15" x14ac:dyDescent="0.25">
      <c r="I104" s="14">
        <f>MATCH(J104,J:J,0)</f>
        <v>104</v>
      </c>
      <c r="J104" s="14" t="s">
        <v>231</v>
      </c>
      <c r="M104">
        <f>IF(Tabela1[[#This Row],[Qtd Filhos]]&gt;=8,1,0)</f>
        <v>0</v>
      </c>
      <c r="N104">
        <f>IF(Tabela1[[#This Row],[Idade]]&gt;50,1,0)</f>
        <v>1</v>
      </c>
      <c r="O104">
        <f>YEAR(Tabela1[[#This Row],[Data Nasc.]])</f>
        <v>1973</v>
      </c>
    </row>
    <row r="105" spans="9:15" x14ac:dyDescent="0.25">
      <c r="I105" s="14">
        <f>MATCH(J105,J:J,0)</f>
        <v>29</v>
      </c>
      <c r="J105" s="14" t="s">
        <v>209</v>
      </c>
      <c r="M105">
        <f>IF(Tabela1[[#This Row],[Qtd Filhos]]&gt;=8,1,0)</f>
        <v>0</v>
      </c>
      <c r="N105">
        <f>IF(Tabela1[[#This Row],[Idade]]&gt;50,1,0)</f>
        <v>0</v>
      </c>
      <c r="O105">
        <f>YEAR(Tabela1[[#This Row],[Data Nasc.]])</f>
        <v>1980</v>
      </c>
    </row>
    <row r="106" spans="9:15" x14ac:dyDescent="0.25">
      <c r="I106" s="14">
        <f>MATCH(J106,J:J,0)</f>
        <v>62</v>
      </c>
      <c r="J106" s="14" t="s">
        <v>261</v>
      </c>
      <c r="M106">
        <f>IF(Tabela1[[#This Row],[Qtd Filhos]]&gt;=8,1,0)</f>
        <v>0</v>
      </c>
      <c r="N106">
        <f>IF(Tabela1[[#This Row],[Idade]]&gt;50,1,0)</f>
        <v>1</v>
      </c>
      <c r="O106">
        <f>YEAR(Tabela1[[#This Row],[Data Nasc.]])</f>
        <v>1975</v>
      </c>
    </row>
    <row r="107" spans="9:15" x14ac:dyDescent="0.25">
      <c r="I107" s="14">
        <f>MATCH(J107,J:J,0)</f>
        <v>34</v>
      </c>
      <c r="J107" s="14" t="s">
        <v>235</v>
      </c>
      <c r="M107">
        <f>IF(Tabela1[[#This Row],[Qtd Filhos]]&gt;=8,1,0)</f>
        <v>0</v>
      </c>
      <c r="N107">
        <f>IF(Tabela1[[#This Row],[Idade]]&gt;50,1,0)</f>
        <v>0</v>
      </c>
      <c r="O107">
        <f>YEAR(Tabela1[[#This Row],[Data Nasc.]])</f>
        <v>1997</v>
      </c>
    </row>
    <row r="108" spans="9:15" x14ac:dyDescent="0.25">
      <c r="I108" s="14">
        <f>MATCH(J108,J:J,0)</f>
        <v>108</v>
      </c>
      <c r="J108" s="14" t="s">
        <v>227</v>
      </c>
      <c r="M108">
        <f>IF(Tabela1[[#This Row],[Qtd Filhos]]&gt;=8,1,0)</f>
        <v>0</v>
      </c>
      <c r="N108">
        <f>IF(Tabela1[[#This Row],[Idade]]&gt;50,1,0)</f>
        <v>0</v>
      </c>
      <c r="O108">
        <f>YEAR(Tabela1[[#This Row],[Data Nasc.]])</f>
        <v>1994</v>
      </c>
    </row>
    <row r="109" spans="9:15" x14ac:dyDescent="0.25">
      <c r="I109" s="14">
        <f>MATCH(J109,J:J,0)</f>
        <v>109</v>
      </c>
      <c r="J109" s="14" t="s">
        <v>190</v>
      </c>
      <c r="M109">
        <f>IF(Tabela1[[#This Row],[Qtd Filhos]]&gt;=8,1,0)</f>
        <v>0</v>
      </c>
      <c r="N109">
        <f>IF(Tabela1[[#This Row],[Idade]]&gt;50,1,0)</f>
        <v>0</v>
      </c>
      <c r="O109">
        <f>YEAR(Tabela1[[#This Row],[Data Nasc.]])</f>
        <v>1979</v>
      </c>
    </row>
    <row r="110" spans="9:15" x14ac:dyDescent="0.25">
      <c r="I110" s="14">
        <f>MATCH(J110,J:J,0)</f>
        <v>29</v>
      </c>
      <c r="J110" s="14" t="s">
        <v>209</v>
      </c>
      <c r="M110">
        <f>IF(Tabela1[[#This Row],[Qtd Filhos]]&gt;=8,1,0)</f>
        <v>0</v>
      </c>
      <c r="N110">
        <f>IF(Tabela1[[#This Row],[Idade]]&gt;50,1,0)</f>
        <v>0</v>
      </c>
      <c r="O110">
        <f>YEAR(Tabela1[[#This Row],[Data Nasc.]])</f>
        <v>1987</v>
      </c>
    </row>
    <row r="111" spans="9:15" x14ac:dyDescent="0.25">
      <c r="I111" s="14">
        <f>MATCH(J111,J:J,0)</f>
        <v>65</v>
      </c>
      <c r="J111" s="14" t="s">
        <v>64</v>
      </c>
      <c r="M111">
        <f>IF(Tabela1[[#This Row],[Qtd Filhos]]&gt;=8,1,0)</f>
        <v>0</v>
      </c>
      <c r="N111">
        <f>IF(Tabela1[[#This Row],[Idade]]&gt;50,1,0)</f>
        <v>1</v>
      </c>
      <c r="O111">
        <f>YEAR(Tabela1[[#This Row],[Data Nasc.]])</f>
        <v>1962</v>
      </c>
    </row>
    <row r="112" spans="9:15" x14ac:dyDescent="0.25">
      <c r="I112" s="14">
        <f>MATCH(J112,J:J,0)</f>
        <v>15</v>
      </c>
      <c r="J112" s="14" t="s">
        <v>31</v>
      </c>
      <c r="M112">
        <f>IF(Tabela1[[#This Row],[Qtd Filhos]]&gt;=8,1,0)</f>
        <v>0</v>
      </c>
      <c r="N112">
        <f>IF(Tabela1[[#This Row],[Idade]]&gt;50,1,0)</f>
        <v>0</v>
      </c>
      <c r="O112">
        <f>YEAR(Tabela1[[#This Row],[Data Nasc.]])</f>
        <v>1995</v>
      </c>
    </row>
    <row r="113" spans="9:15" x14ac:dyDescent="0.25">
      <c r="I113" s="14">
        <f>MATCH(J113,J:J,0)</f>
        <v>65</v>
      </c>
      <c r="J113" s="14" t="s">
        <v>64</v>
      </c>
      <c r="M113">
        <f>IF(Tabela1[[#This Row],[Qtd Filhos]]&gt;=8,1,0)</f>
        <v>0</v>
      </c>
      <c r="N113">
        <f>IF(Tabela1[[#This Row],[Idade]]&gt;50,1,0)</f>
        <v>0</v>
      </c>
      <c r="O113">
        <f>YEAR(Tabela1[[#This Row],[Data Nasc.]])</f>
        <v>1979</v>
      </c>
    </row>
    <row r="114" spans="9:15" x14ac:dyDescent="0.25">
      <c r="I114" s="14">
        <f>MATCH(J114,J:J,0)</f>
        <v>114</v>
      </c>
      <c r="J114" s="14" t="s">
        <v>168</v>
      </c>
      <c r="M114">
        <f>IF(Tabela1[[#This Row],[Qtd Filhos]]&gt;=8,1,0)</f>
        <v>0</v>
      </c>
      <c r="N114">
        <f>IF(Tabela1[[#This Row],[Idade]]&gt;50,1,0)</f>
        <v>0</v>
      </c>
      <c r="O114">
        <f>YEAR(Tabela1[[#This Row],[Data Nasc.]])</f>
        <v>2001</v>
      </c>
    </row>
    <row r="115" spans="9:15" x14ac:dyDescent="0.25">
      <c r="I115" s="14">
        <f>MATCH(J115,J:J,0)</f>
        <v>77</v>
      </c>
      <c r="J115" s="14" t="s">
        <v>132</v>
      </c>
      <c r="M115">
        <f>IF(Tabela1[[#This Row],[Qtd Filhos]]&gt;=8,1,0)</f>
        <v>0</v>
      </c>
      <c r="N115">
        <f>IF(Tabela1[[#This Row],[Idade]]&gt;50,1,0)</f>
        <v>0</v>
      </c>
      <c r="O115">
        <f>YEAR(Tabela1[[#This Row],[Data Nasc.]])</f>
        <v>2000</v>
      </c>
    </row>
    <row r="116" spans="9:15" x14ac:dyDescent="0.25">
      <c r="I116" s="14">
        <f>MATCH(J116,J:J,0)</f>
        <v>116</v>
      </c>
      <c r="J116" s="14" t="s">
        <v>76</v>
      </c>
      <c r="M116">
        <f>IF(Tabela1[[#This Row],[Qtd Filhos]]&gt;=8,1,0)</f>
        <v>0</v>
      </c>
      <c r="N116">
        <f>IF(Tabela1[[#This Row],[Idade]]&gt;50,1,0)</f>
        <v>0</v>
      </c>
      <c r="O116">
        <f>YEAR(Tabela1[[#This Row],[Data Nasc.]])</f>
        <v>2006</v>
      </c>
    </row>
    <row r="117" spans="9:15" x14ac:dyDescent="0.25">
      <c r="I117" s="14">
        <f>MATCH(J117,J:J,0)</f>
        <v>87</v>
      </c>
      <c r="J117" s="14" t="s">
        <v>95</v>
      </c>
      <c r="M117">
        <f>IF(Tabela1[[#This Row],[Qtd Filhos]]&gt;=8,1,0)</f>
        <v>0</v>
      </c>
      <c r="N117">
        <f>IF(Tabela1[[#This Row],[Idade]]&gt;50,1,0)</f>
        <v>0</v>
      </c>
      <c r="O117">
        <f>YEAR(Tabela1[[#This Row],[Data Nasc.]])</f>
        <v>1990</v>
      </c>
    </row>
    <row r="118" spans="9:15" x14ac:dyDescent="0.25">
      <c r="I118" s="14">
        <f>MATCH(J118,J:J,0)</f>
        <v>2</v>
      </c>
      <c r="J118" s="14" t="s">
        <v>56</v>
      </c>
      <c r="M118">
        <f>IF(Tabela1[[#This Row],[Qtd Filhos]]&gt;=8,1,0)</f>
        <v>0</v>
      </c>
      <c r="N118">
        <f>IF(Tabela1[[#This Row],[Idade]]&gt;50,1,0)</f>
        <v>0</v>
      </c>
      <c r="O118">
        <f>YEAR(Tabela1[[#This Row],[Data Nasc.]])</f>
        <v>1977</v>
      </c>
    </row>
    <row r="119" spans="9:15" x14ac:dyDescent="0.25">
      <c r="I119" s="14">
        <f>MATCH(J119,J:J,0)</f>
        <v>42</v>
      </c>
      <c r="J119" s="14" t="s">
        <v>220</v>
      </c>
      <c r="M119">
        <f>IF(Tabela1[[#This Row],[Qtd Filhos]]&gt;=8,1,0)</f>
        <v>0</v>
      </c>
      <c r="N119">
        <f>IF(Tabela1[[#This Row],[Idade]]&gt;50,1,0)</f>
        <v>0</v>
      </c>
      <c r="O119">
        <f>YEAR(Tabela1[[#This Row],[Data Nasc.]])</f>
        <v>1976</v>
      </c>
    </row>
    <row r="120" spans="9:15" x14ac:dyDescent="0.25">
      <c r="I120" s="14">
        <f>MATCH(J120,J:J,0)</f>
        <v>114</v>
      </c>
      <c r="J120" s="14" t="s">
        <v>168</v>
      </c>
      <c r="M120">
        <f>IF(Tabela1[[#This Row],[Qtd Filhos]]&gt;=8,1,0)</f>
        <v>0</v>
      </c>
      <c r="N120">
        <f>IF(Tabela1[[#This Row],[Idade]]&gt;50,1,0)</f>
        <v>0</v>
      </c>
      <c r="O120">
        <f>YEAR(Tabela1[[#This Row],[Data Nasc.]])</f>
        <v>1979</v>
      </c>
    </row>
    <row r="121" spans="9:15" x14ac:dyDescent="0.25">
      <c r="I121" s="14">
        <f>MATCH(J121,J:J,0)</f>
        <v>17</v>
      </c>
      <c r="J121" s="14" t="s">
        <v>143</v>
      </c>
      <c r="M121">
        <f>IF(Tabela1[[#This Row],[Qtd Filhos]]&gt;=8,1,0)</f>
        <v>0</v>
      </c>
      <c r="N121">
        <f>IF(Tabela1[[#This Row],[Idade]]&gt;50,1,0)</f>
        <v>1</v>
      </c>
      <c r="O121">
        <f>YEAR(Tabela1[[#This Row],[Data Nasc.]])</f>
        <v>1974</v>
      </c>
    </row>
    <row r="122" spans="9:15" x14ac:dyDescent="0.25">
      <c r="I122" s="14">
        <f>MATCH(J122,J:J,0)</f>
        <v>10</v>
      </c>
      <c r="J122" s="14" t="s">
        <v>152</v>
      </c>
      <c r="M122">
        <f>IF(Tabela1[[#This Row],[Qtd Filhos]]&gt;=8,1,0)</f>
        <v>0</v>
      </c>
      <c r="N122">
        <f>IF(Tabela1[[#This Row],[Idade]]&gt;50,1,0)</f>
        <v>0</v>
      </c>
      <c r="O122">
        <f>YEAR(Tabela1[[#This Row],[Data Nasc.]])</f>
        <v>1992</v>
      </c>
    </row>
    <row r="123" spans="9:15" x14ac:dyDescent="0.25">
      <c r="I123" s="14">
        <f>MATCH(J123,J:J,0)</f>
        <v>38</v>
      </c>
      <c r="J123" s="14" t="s">
        <v>246</v>
      </c>
      <c r="M123">
        <f>IF(Tabela1[[#This Row],[Qtd Filhos]]&gt;=8,1,0)</f>
        <v>0</v>
      </c>
      <c r="N123">
        <f>IF(Tabela1[[#This Row],[Idade]]&gt;50,1,0)</f>
        <v>0</v>
      </c>
      <c r="O123">
        <f>YEAR(Tabela1[[#This Row],[Data Nasc.]])</f>
        <v>1988</v>
      </c>
    </row>
    <row r="124" spans="9:15" x14ac:dyDescent="0.25">
      <c r="I124" s="14">
        <f>MATCH(J124,J:J,0)</f>
        <v>124</v>
      </c>
      <c r="J124" s="14" t="s">
        <v>199</v>
      </c>
      <c r="M124">
        <f>IF(Tabela1[[#This Row],[Qtd Filhos]]&gt;=8,1,0)</f>
        <v>0</v>
      </c>
      <c r="N124">
        <f>IF(Tabela1[[#This Row],[Idade]]&gt;50,1,0)</f>
        <v>0</v>
      </c>
      <c r="O124">
        <f>YEAR(Tabela1[[#This Row],[Data Nasc.]])</f>
        <v>2004</v>
      </c>
    </row>
    <row r="125" spans="9:15" x14ac:dyDescent="0.25">
      <c r="I125" s="14">
        <f>MATCH(J125,J:J,0)</f>
        <v>46</v>
      </c>
      <c r="J125" s="14" t="s">
        <v>52</v>
      </c>
      <c r="M125">
        <f>IF(Tabela1[[#This Row],[Qtd Filhos]]&gt;=8,1,0)</f>
        <v>0</v>
      </c>
      <c r="N125">
        <f>IF(Tabela1[[#This Row],[Idade]]&gt;50,1,0)</f>
        <v>0</v>
      </c>
      <c r="O125">
        <f>YEAR(Tabela1[[#This Row],[Data Nasc.]])</f>
        <v>1987</v>
      </c>
    </row>
    <row r="126" spans="9:15" x14ac:dyDescent="0.25">
      <c r="I126" s="14">
        <f>MATCH(J126,J:J,0)</f>
        <v>126</v>
      </c>
      <c r="J126" s="14" t="s">
        <v>137</v>
      </c>
      <c r="M126">
        <f>IF(Tabela1[[#This Row],[Qtd Filhos]]&gt;=8,1,0)</f>
        <v>0</v>
      </c>
      <c r="N126">
        <f>IF(Tabela1[[#This Row],[Idade]]&gt;50,1,0)</f>
        <v>0</v>
      </c>
      <c r="O126">
        <f>YEAR(Tabela1[[#This Row],[Data Nasc.]])</f>
        <v>2002</v>
      </c>
    </row>
    <row r="127" spans="9:15" x14ac:dyDescent="0.25">
      <c r="I127" s="14">
        <f>MATCH(J127,J:J,0)</f>
        <v>94</v>
      </c>
      <c r="J127" s="14" t="s">
        <v>293</v>
      </c>
      <c r="M127">
        <f>IF(Tabela1[[#This Row],[Qtd Filhos]]&gt;=8,1,0)</f>
        <v>0</v>
      </c>
      <c r="N127">
        <f>IF(Tabela1[[#This Row],[Idade]]&gt;50,1,0)</f>
        <v>0</v>
      </c>
      <c r="O127">
        <f>YEAR(Tabela1[[#This Row],[Data Nasc.]])</f>
        <v>1990</v>
      </c>
    </row>
    <row r="128" spans="9:15" x14ac:dyDescent="0.25">
      <c r="I128" s="14">
        <f>MATCH(J128,J:J,0)</f>
        <v>109</v>
      </c>
      <c r="J128" s="14" t="s">
        <v>190</v>
      </c>
      <c r="M128">
        <f>IF(Tabela1[[#This Row],[Qtd Filhos]]&gt;=8,1,0)</f>
        <v>0</v>
      </c>
      <c r="N128">
        <f>IF(Tabela1[[#This Row],[Idade]]&gt;50,1,0)</f>
        <v>1</v>
      </c>
      <c r="O128">
        <f>YEAR(Tabela1[[#This Row],[Data Nasc.]])</f>
        <v>1974</v>
      </c>
    </row>
    <row r="129" spans="9:15" x14ac:dyDescent="0.25">
      <c r="I129" s="14">
        <f>MATCH(J129,J:J,0)</f>
        <v>129</v>
      </c>
      <c r="J129" s="14" t="s">
        <v>156</v>
      </c>
      <c r="M129">
        <f>IF(Tabela1[[#This Row],[Qtd Filhos]]&gt;=8,1,0)</f>
        <v>0</v>
      </c>
      <c r="N129">
        <f>IF(Tabela1[[#This Row],[Idade]]&gt;50,1,0)</f>
        <v>0</v>
      </c>
      <c r="O129">
        <f>YEAR(Tabela1[[#This Row],[Data Nasc.]])</f>
        <v>1982</v>
      </c>
    </row>
    <row r="130" spans="9:15" x14ac:dyDescent="0.25">
      <c r="I130" s="14">
        <f>MATCH(J130,J:J,0)</f>
        <v>42</v>
      </c>
      <c r="J130" s="14" t="s">
        <v>220</v>
      </c>
      <c r="M130">
        <f>IF(Tabela1[[#This Row],[Qtd Filhos]]&gt;=8,1,0)</f>
        <v>0</v>
      </c>
      <c r="N130">
        <f>IF(Tabela1[[#This Row],[Idade]]&gt;50,1,0)</f>
        <v>1</v>
      </c>
      <c r="O130">
        <f>YEAR(Tabela1[[#This Row],[Data Nasc.]])</f>
        <v>1974</v>
      </c>
    </row>
    <row r="131" spans="9:15" x14ac:dyDescent="0.25">
      <c r="I131" s="14">
        <f>MATCH(J131,J:J,0)</f>
        <v>131</v>
      </c>
      <c r="J131" s="14" t="s">
        <v>259</v>
      </c>
      <c r="M131">
        <f>IF(Tabela1[[#This Row],[Qtd Filhos]]&gt;=8,1,0)</f>
        <v>0</v>
      </c>
      <c r="N131">
        <f>IF(Tabela1[[#This Row],[Idade]]&gt;50,1,0)</f>
        <v>0</v>
      </c>
      <c r="O131">
        <f>YEAR(Tabela1[[#This Row],[Data Nasc.]])</f>
        <v>1982</v>
      </c>
    </row>
    <row r="132" spans="9:15" x14ac:dyDescent="0.25">
      <c r="I132" s="14">
        <f>MATCH(J132,J:J,0)</f>
        <v>46</v>
      </c>
      <c r="J132" s="14" t="s">
        <v>52</v>
      </c>
      <c r="M132">
        <f>IF(Tabela1[[#This Row],[Qtd Filhos]]&gt;=8,1,0)</f>
        <v>0</v>
      </c>
      <c r="N132">
        <f>IF(Tabela1[[#This Row],[Idade]]&gt;50,1,0)</f>
        <v>0</v>
      </c>
      <c r="O132">
        <f>YEAR(Tabela1[[#This Row],[Data Nasc.]])</f>
        <v>1988</v>
      </c>
    </row>
    <row r="133" spans="9:15" x14ac:dyDescent="0.25">
      <c r="I133" s="14">
        <f>MATCH(J133,J:J,0)</f>
        <v>7</v>
      </c>
      <c r="J133" s="14" t="s">
        <v>118</v>
      </c>
      <c r="M133">
        <f>IF(Tabela1[[#This Row],[Qtd Filhos]]&gt;=8,1,0)</f>
        <v>0</v>
      </c>
      <c r="N133">
        <f>IF(Tabela1[[#This Row],[Idade]]&gt;50,1,0)</f>
        <v>0</v>
      </c>
      <c r="O133">
        <f>YEAR(Tabela1[[#This Row],[Data Nasc.]])</f>
        <v>1986</v>
      </c>
    </row>
    <row r="134" spans="9:15" x14ac:dyDescent="0.25">
      <c r="I134" s="14">
        <f>MATCH(J134,J:J,0)</f>
        <v>134</v>
      </c>
      <c r="J134" s="14" t="s">
        <v>141</v>
      </c>
      <c r="M134">
        <f>IF(Tabela1[[#This Row],[Qtd Filhos]]&gt;=8,1,0)</f>
        <v>0</v>
      </c>
      <c r="N134">
        <f>IF(Tabela1[[#This Row],[Idade]]&gt;50,1,0)</f>
        <v>1</v>
      </c>
      <c r="O134">
        <f>YEAR(Tabela1[[#This Row],[Data Nasc.]])</f>
        <v>1973</v>
      </c>
    </row>
    <row r="135" spans="9:15" x14ac:dyDescent="0.25">
      <c r="I135" s="14">
        <f>MATCH(J135,J:J,0)</f>
        <v>53</v>
      </c>
      <c r="J135" s="14" t="s">
        <v>271</v>
      </c>
      <c r="M135">
        <f>IF(Tabela1[[#This Row],[Qtd Filhos]]&gt;=8,1,0)</f>
        <v>0</v>
      </c>
      <c r="N135">
        <f>IF(Tabela1[[#This Row],[Idade]]&gt;50,1,0)</f>
        <v>0</v>
      </c>
      <c r="O135">
        <f>YEAR(Tabela1[[#This Row],[Data Nasc.]])</f>
        <v>2001</v>
      </c>
    </row>
    <row r="136" spans="9:15" x14ac:dyDescent="0.25">
      <c r="I136" s="14">
        <f>MATCH(J136,J:J,0)</f>
        <v>126</v>
      </c>
      <c r="J136" s="14" t="s">
        <v>137</v>
      </c>
      <c r="M136">
        <f>IF(Tabela1[[#This Row],[Qtd Filhos]]&gt;=8,1,0)</f>
        <v>0</v>
      </c>
      <c r="N136">
        <f>IF(Tabela1[[#This Row],[Idade]]&gt;50,1,0)</f>
        <v>1</v>
      </c>
      <c r="O136">
        <f>YEAR(Tabela1[[#This Row],[Data Nasc.]])</f>
        <v>1966</v>
      </c>
    </row>
    <row r="137" spans="9:15" x14ac:dyDescent="0.25">
      <c r="I137" s="14">
        <f>MATCH(J137,J:J,0)</f>
        <v>104</v>
      </c>
      <c r="J137" s="14" t="s">
        <v>231</v>
      </c>
      <c r="M137">
        <f>IF(Tabela1[[#This Row],[Qtd Filhos]]&gt;=8,1,0)</f>
        <v>0</v>
      </c>
      <c r="N137">
        <f>IF(Tabela1[[#This Row],[Idade]]&gt;50,1,0)</f>
        <v>0</v>
      </c>
      <c r="O137">
        <f>YEAR(Tabela1[[#This Row],[Data Nasc.]])</f>
        <v>2004</v>
      </c>
    </row>
    <row r="138" spans="9:15" x14ac:dyDescent="0.25">
      <c r="I138" s="14">
        <f>MATCH(J138,J:J,0)</f>
        <v>86</v>
      </c>
      <c r="J138" s="14" t="s">
        <v>128</v>
      </c>
      <c r="M138">
        <f>IF(Tabela1[[#This Row],[Qtd Filhos]]&gt;=8,1,0)</f>
        <v>0</v>
      </c>
      <c r="N138">
        <f>IF(Tabela1[[#This Row],[Idade]]&gt;50,1,0)</f>
        <v>1</v>
      </c>
      <c r="O138">
        <f>YEAR(Tabela1[[#This Row],[Data Nasc.]])</f>
        <v>1962</v>
      </c>
    </row>
    <row r="139" spans="9:15" x14ac:dyDescent="0.25">
      <c r="I139" s="14">
        <f>MATCH(J139,J:J,0)</f>
        <v>48</v>
      </c>
      <c r="J139" s="14" t="s">
        <v>222</v>
      </c>
      <c r="M139">
        <f>IF(Tabela1[[#This Row],[Qtd Filhos]]&gt;=8,1,0)</f>
        <v>0</v>
      </c>
      <c r="N139">
        <f>IF(Tabela1[[#This Row],[Idade]]&gt;50,1,0)</f>
        <v>1</v>
      </c>
      <c r="O139">
        <f>YEAR(Tabela1[[#This Row],[Data Nasc.]])</f>
        <v>1966</v>
      </c>
    </row>
    <row r="140" spans="9:15" x14ac:dyDescent="0.25">
      <c r="I140" s="14">
        <f>MATCH(J140,J:J,0)</f>
        <v>14</v>
      </c>
      <c r="J140" s="14" t="s">
        <v>184</v>
      </c>
      <c r="M140">
        <f>IF(Tabela1[[#This Row],[Qtd Filhos]]&gt;=8,1,0)</f>
        <v>0</v>
      </c>
      <c r="N140">
        <f>IF(Tabela1[[#This Row],[Idade]]&gt;50,1,0)</f>
        <v>0</v>
      </c>
      <c r="O140">
        <f>YEAR(Tabela1[[#This Row],[Data Nasc.]])</f>
        <v>2003</v>
      </c>
    </row>
    <row r="141" spans="9:15" x14ac:dyDescent="0.25">
      <c r="I141" s="14">
        <f>MATCH(J141,J:J,0)</f>
        <v>57</v>
      </c>
      <c r="J141" s="14" t="s">
        <v>195</v>
      </c>
      <c r="M141">
        <f>IF(Tabela1[[#This Row],[Qtd Filhos]]&gt;=8,1,0)</f>
        <v>0</v>
      </c>
      <c r="N141">
        <f>IF(Tabela1[[#This Row],[Idade]]&gt;50,1,0)</f>
        <v>1</v>
      </c>
      <c r="O141">
        <f>YEAR(Tabela1[[#This Row],[Data Nasc.]])</f>
        <v>1966</v>
      </c>
    </row>
    <row r="142" spans="9:15" x14ac:dyDescent="0.25">
      <c r="I142" s="14">
        <f>MATCH(J142,J:J,0)</f>
        <v>76</v>
      </c>
      <c r="J142" s="14" t="s">
        <v>251</v>
      </c>
      <c r="M142">
        <f>IF(Tabela1[[#This Row],[Qtd Filhos]]&gt;=8,1,0)</f>
        <v>0</v>
      </c>
      <c r="N142">
        <f>IF(Tabela1[[#This Row],[Idade]]&gt;50,1,0)</f>
        <v>0</v>
      </c>
      <c r="O142">
        <f>YEAR(Tabela1[[#This Row],[Data Nasc.]])</f>
        <v>1978</v>
      </c>
    </row>
    <row r="143" spans="9:15" x14ac:dyDescent="0.25">
      <c r="I143" s="14">
        <f>MATCH(J143,J:J,0)</f>
        <v>143</v>
      </c>
      <c r="J143" s="14" t="s">
        <v>233</v>
      </c>
      <c r="M143">
        <f>IF(Tabela1[[#This Row],[Qtd Filhos]]&gt;=8,1,0)</f>
        <v>0</v>
      </c>
      <c r="N143">
        <f>IF(Tabela1[[#This Row],[Idade]]&gt;50,1,0)</f>
        <v>0</v>
      </c>
      <c r="O143">
        <f>YEAR(Tabela1[[#This Row],[Data Nasc.]])</f>
        <v>1987</v>
      </c>
    </row>
    <row r="144" spans="9:15" x14ac:dyDescent="0.25">
      <c r="I144" s="14">
        <f>MATCH(J144,J:J,0)</f>
        <v>23</v>
      </c>
      <c r="J144" s="14" t="s">
        <v>283</v>
      </c>
      <c r="M144">
        <f>IF(Tabela1[[#This Row],[Qtd Filhos]]&gt;=8,1,0)</f>
        <v>0</v>
      </c>
      <c r="N144">
        <f>IF(Tabela1[[#This Row],[Idade]]&gt;50,1,0)</f>
        <v>1</v>
      </c>
      <c r="O144">
        <f>YEAR(Tabela1[[#This Row],[Data Nasc.]])</f>
        <v>1964</v>
      </c>
    </row>
    <row r="145" spans="9:15" x14ac:dyDescent="0.25">
      <c r="I145" s="14">
        <f>MATCH(J145,J:J,0)</f>
        <v>26</v>
      </c>
      <c r="J145" s="14" t="s">
        <v>287</v>
      </c>
      <c r="M145">
        <f>IF(Tabela1[[#This Row],[Qtd Filhos]]&gt;=8,1,0)</f>
        <v>0</v>
      </c>
      <c r="N145">
        <f>IF(Tabela1[[#This Row],[Idade]]&gt;50,1,0)</f>
        <v>0</v>
      </c>
      <c r="O145">
        <f>YEAR(Tabela1[[#This Row],[Data Nasc.]])</f>
        <v>1999</v>
      </c>
    </row>
    <row r="146" spans="9:15" x14ac:dyDescent="0.25">
      <c r="I146" s="14">
        <f>MATCH(J146,J:J,0)</f>
        <v>4</v>
      </c>
      <c r="J146" s="14" t="s">
        <v>281</v>
      </c>
      <c r="M146">
        <f>IF(Tabela1[[#This Row],[Qtd Filhos]]&gt;=8,1,0)</f>
        <v>0</v>
      </c>
      <c r="N146">
        <f>IF(Tabela1[[#This Row],[Idade]]&gt;50,1,0)</f>
        <v>0</v>
      </c>
      <c r="O146">
        <f>YEAR(Tabela1[[#This Row],[Data Nasc.]])</f>
        <v>2003</v>
      </c>
    </row>
    <row r="147" spans="9:15" x14ac:dyDescent="0.25">
      <c r="I147" s="14">
        <f>MATCH(J147,J:J,0)</f>
        <v>55</v>
      </c>
      <c r="J147" s="14" t="s">
        <v>197</v>
      </c>
      <c r="M147">
        <f>IF(Tabela1[[#This Row],[Qtd Filhos]]&gt;=8,1,0)</f>
        <v>0</v>
      </c>
      <c r="N147">
        <f>IF(Tabela1[[#This Row],[Idade]]&gt;50,1,0)</f>
        <v>0</v>
      </c>
      <c r="O147">
        <f>YEAR(Tabela1[[#This Row],[Data Nasc.]])</f>
        <v>2005</v>
      </c>
    </row>
    <row r="148" spans="9:15" x14ac:dyDescent="0.25">
      <c r="I148" s="14">
        <f>MATCH(J148,J:J,0)</f>
        <v>70</v>
      </c>
      <c r="J148" s="14" t="s">
        <v>84</v>
      </c>
      <c r="M148">
        <f>IF(Tabela1[[#This Row],[Qtd Filhos]]&gt;=8,1,0)</f>
        <v>0</v>
      </c>
      <c r="N148">
        <f>IF(Tabela1[[#This Row],[Idade]]&gt;50,1,0)</f>
        <v>0</v>
      </c>
      <c r="O148">
        <f>YEAR(Tabela1[[#This Row],[Data Nasc.]])</f>
        <v>2003</v>
      </c>
    </row>
    <row r="149" spans="9:15" x14ac:dyDescent="0.25">
      <c r="I149" s="14">
        <f>MATCH(J149,J:J,0)</f>
        <v>149</v>
      </c>
      <c r="J149" s="14" t="s">
        <v>162</v>
      </c>
      <c r="M149">
        <f>IF(Tabela1[[#This Row],[Qtd Filhos]]&gt;=8,1,0)</f>
        <v>0</v>
      </c>
      <c r="N149">
        <f>IF(Tabela1[[#This Row],[Idade]]&gt;50,1,0)</f>
        <v>0</v>
      </c>
      <c r="O149">
        <f>YEAR(Tabela1[[#This Row],[Data Nasc.]])</f>
        <v>1985</v>
      </c>
    </row>
    <row r="150" spans="9:15" x14ac:dyDescent="0.25">
      <c r="I150" s="14">
        <f>MATCH(J150,J:J,0)</f>
        <v>65</v>
      </c>
      <c r="J150" s="14" t="s">
        <v>64</v>
      </c>
      <c r="M150">
        <f>IF(Tabela1[[#This Row],[Qtd Filhos]]&gt;=8,1,0)</f>
        <v>0</v>
      </c>
      <c r="N150">
        <f>IF(Tabela1[[#This Row],[Idade]]&gt;50,1,0)</f>
        <v>0</v>
      </c>
      <c r="O150">
        <f>YEAR(Tabela1[[#This Row],[Data Nasc.]])</f>
        <v>1982</v>
      </c>
    </row>
    <row r="151" spans="9:15" x14ac:dyDescent="0.25">
      <c r="I151" s="14">
        <f>MATCH(J151,J:J,0)</f>
        <v>42</v>
      </c>
      <c r="J151" s="14" t="s">
        <v>220</v>
      </c>
      <c r="M151">
        <f>IF(Tabela1[[#This Row],[Qtd Filhos]]&gt;=8,1,0)</f>
        <v>0</v>
      </c>
      <c r="N151">
        <f>IF(Tabela1[[#This Row],[Idade]]&gt;50,1,0)</f>
        <v>0</v>
      </c>
      <c r="O151">
        <f>YEAR(Tabela1[[#This Row],[Data Nasc.]])</f>
        <v>1995</v>
      </c>
    </row>
    <row r="152" spans="9:15" x14ac:dyDescent="0.25">
      <c r="I152" s="14">
        <f>MATCH(J152,J:J,0)</f>
        <v>98</v>
      </c>
      <c r="J152" s="14" t="s">
        <v>130</v>
      </c>
      <c r="M152">
        <f>IF(Tabela1[[#This Row],[Qtd Filhos]]&gt;=8,1,0)</f>
        <v>0</v>
      </c>
      <c r="N152">
        <f>IF(Tabela1[[#This Row],[Idade]]&gt;50,1,0)</f>
        <v>0</v>
      </c>
      <c r="O152">
        <f>YEAR(Tabela1[[#This Row],[Data Nasc.]])</f>
        <v>2000</v>
      </c>
    </row>
    <row r="153" spans="9:15" x14ac:dyDescent="0.25">
      <c r="I153" s="14">
        <f>MATCH(J153,J:J,0)</f>
        <v>153</v>
      </c>
      <c r="J153" s="14" t="s">
        <v>277</v>
      </c>
      <c r="M153">
        <f>IF(Tabela1[[#This Row],[Qtd Filhos]]&gt;=8,1,0)</f>
        <v>0</v>
      </c>
      <c r="N153">
        <f>IF(Tabela1[[#This Row],[Idade]]&gt;50,1,0)</f>
        <v>1</v>
      </c>
      <c r="O153">
        <f>YEAR(Tabela1[[#This Row],[Data Nasc.]])</f>
        <v>1972</v>
      </c>
    </row>
    <row r="154" spans="9:15" x14ac:dyDescent="0.25">
      <c r="I154" s="14">
        <f>MATCH(J154,J:J,0)</f>
        <v>19</v>
      </c>
      <c r="J154" s="14" t="s">
        <v>80</v>
      </c>
      <c r="M154">
        <f>IF(Tabela1[[#This Row],[Qtd Filhos]]&gt;=8,1,0)</f>
        <v>0</v>
      </c>
      <c r="N154">
        <f>IF(Tabela1[[#This Row],[Idade]]&gt;50,1,0)</f>
        <v>0</v>
      </c>
      <c r="O154">
        <f>YEAR(Tabela1[[#This Row],[Data Nasc.]])</f>
        <v>1992</v>
      </c>
    </row>
    <row r="155" spans="9:15" x14ac:dyDescent="0.25">
      <c r="I155" s="14">
        <f>MATCH(J155,J:J,0)</f>
        <v>143</v>
      </c>
      <c r="J155" s="14" t="s">
        <v>233</v>
      </c>
      <c r="M155">
        <f>IF(Tabela1[[#This Row],[Qtd Filhos]]&gt;=8,1,0)</f>
        <v>0</v>
      </c>
      <c r="N155">
        <f>IF(Tabela1[[#This Row],[Idade]]&gt;50,1,0)</f>
        <v>0</v>
      </c>
      <c r="O155">
        <f>YEAR(Tabela1[[#This Row],[Data Nasc.]])</f>
        <v>1995</v>
      </c>
    </row>
    <row r="156" spans="9:15" x14ac:dyDescent="0.25">
      <c r="I156" s="14">
        <f>MATCH(J156,J:J,0)</f>
        <v>21</v>
      </c>
      <c r="J156" s="14" t="s">
        <v>244</v>
      </c>
      <c r="M156">
        <f>IF(Tabela1[[#This Row],[Qtd Filhos]]&gt;=8,1,0)</f>
        <v>0</v>
      </c>
      <c r="N156">
        <f>IF(Tabela1[[#This Row],[Idade]]&gt;50,1,0)</f>
        <v>0</v>
      </c>
      <c r="O156">
        <f>YEAR(Tabela1[[#This Row],[Data Nasc.]])</f>
        <v>1993</v>
      </c>
    </row>
    <row r="157" spans="9:15" x14ac:dyDescent="0.25">
      <c r="I157" s="14">
        <f>MATCH(J157,J:J,0)</f>
        <v>43</v>
      </c>
      <c r="J157" s="14" t="s">
        <v>154</v>
      </c>
      <c r="M157">
        <f>IF(Tabela1[[#This Row],[Qtd Filhos]]&gt;=8,1,0)</f>
        <v>0</v>
      </c>
      <c r="N157">
        <f>IF(Tabela1[[#This Row],[Idade]]&gt;50,1,0)</f>
        <v>0</v>
      </c>
      <c r="O157">
        <f>YEAR(Tabela1[[#This Row],[Data Nasc.]])</f>
        <v>2003</v>
      </c>
    </row>
    <row r="158" spans="9:15" x14ac:dyDescent="0.25">
      <c r="I158" s="14">
        <f>MATCH(J158,J:J,0)</f>
        <v>158</v>
      </c>
      <c r="J158" s="14" t="s">
        <v>112</v>
      </c>
      <c r="M158">
        <f>IF(Tabela1[[#This Row],[Qtd Filhos]]&gt;=8,1,0)</f>
        <v>0</v>
      </c>
      <c r="N158">
        <f>IF(Tabela1[[#This Row],[Idade]]&gt;50,1,0)</f>
        <v>0</v>
      </c>
      <c r="O158">
        <f>YEAR(Tabela1[[#This Row],[Data Nasc.]])</f>
        <v>1992</v>
      </c>
    </row>
    <row r="159" spans="9:15" x14ac:dyDescent="0.25">
      <c r="I159" s="14">
        <f>MATCH(J159,J:J,0)</f>
        <v>109</v>
      </c>
      <c r="J159" s="14" t="s">
        <v>190</v>
      </c>
      <c r="M159">
        <f>IF(Tabela1[[#This Row],[Qtd Filhos]]&gt;=8,1,0)</f>
        <v>0</v>
      </c>
      <c r="N159">
        <f>IF(Tabela1[[#This Row],[Idade]]&gt;50,1,0)</f>
        <v>0</v>
      </c>
      <c r="O159">
        <f>YEAR(Tabela1[[#This Row],[Data Nasc.]])</f>
        <v>1976</v>
      </c>
    </row>
    <row r="160" spans="9:15" x14ac:dyDescent="0.25">
      <c r="I160" s="14">
        <f>MATCH(J160,J:J,0)</f>
        <v>160</v>
      </c>
      <c r="J160" s="14" t="s">
        <v>256</v>
      </c>
      <c r="M160">
        <f>IF(Tabela1[[#This Row],[Qtd Filhos]]&gt;=8,1,0)</f>
        <v>0</v>
      </c>
      <c r="N160">
        <f>IF(Tabela1[[#This Row],[Idade]]&gt;50,1,0)</f>
        <v>0</v>
      </c>
      <c r="O160">
        <f>YEAR(Tabela1[[#This Row],[Data Nasc.]])</f>
        <v>1992</v>
      </c>
    </row>
    <row r="161" spans="9:15" x14ac:dyDescent="0.25">
      <c r="I161" s="14">
        <f>MATCH(J161,J:J,0)</f>
        <v>4</v>
      </c>
      <c r="J161" s="14" t="s">
        <v>281</v>
      </c>
      <c r="M161">
        <f>IF(Tabela1[[#This Row],[Qtd Filhos]]&gt;=8,1,0)</f>
        <v>0</v>
      </c>
      <c r="N161">
        <f>IF(Tabela1[[#This Row],[Idade]]&gt;50,1,0)</f>
        <v>0</v>
      </c>
      <c r="O161">
        <f>YEAR(Tabela1[[#This Row],[Data Nasc.]])</f>
        <v>2002</v>
      </c>
    </row>
    <row r="162" spans="9:15" x14ac:dyDescent="0.25">
      <c r="I162" s="14">
        <f>MATCH(J162,J:J,0)</f>
        <v>34</v>
      </c>
      <c r="J162" s="14" t="s">
        <v>235</v>
      </c>
      <c r="M162">
        <f>IF(Tabela1[[#This Row],[Qtd Filhos]]&gt;=8,1,0)</f>
        <v>0</v>
      </c>
      <c r="N162">
        <f>IF(Tabela1[[#This Row],[Idade]]&gt;50,1,0)</f>
        <v>0</v>
      </c>
      <c r="O162">
        <f>YEAR(Tabela1[[#This Row],[Data Nasc.]])</f>
        <v>1992</v>
      </c>
    </row>
    <row r="163" spans="9:15" x14ac:dyDescent="0.25">
      <c r="I163" s="14">
        <f>MATCH(J163,J:J,0)</f>
        <v>163</v>
      </c>
      <c r="J163" s="14" t="s">
        <v>265</v>
      </c>
      <c r="M163">
        <f>IF(Tabela1[[#This Row],[Qtd Filhos]]&gt;=8,1,0)</f>
        <v>0</v>
      </c>
      <c r="N163">
        <f>IF(Tabela1[[#This Row],[Idade]]&gt;50,1,0)</f>
        <v>0</v>
      </c>
      <c r="O163">
        <f>YEAR(Tabela1[[#This Row],[Data Nasc.]])</f>
        <v>1977</v>
      </c>
    </row>
    <row r="164" spans="9:15" x14ac:dyDescent="0.25">
      <c r="I164" s="14">
        <f>MATCH(J164,J:J,0)</f>
        <v>63</v>
      </c>
      <c r="J164" s="14" t="s">
        <v>279</v>
      </c>
      <c r="M164">
        <f>IF(Tabela1[[#This Row],[Qtd Filhos]]&gt;=8,1,0)</f>
        <v>0</v>
      </c>
      <c r="N164">
        <f>IF(Tabela1[[#This Row],[Idade]]&gt;50,1,0)</f>
        <v>1</v>
      </c>
      <c r="O164">
        <f>YEAR(Tabela1[[#This Row],[Data Nasc.]])</f>
        <v>1974</v>
      </c>
    </row>
    <row r="165" spans="9:15" x14ac:dyDescent="0.25">
      <c r="I165" s="14">
        <f>MATCH(J165,J:J,0)</f>
        <v>12</v>
      </c>
      <c r="J165" s="14" t="s">
        <v>273</v>
      </c>
      <c r="M165">
        <f>IF(Tabela1[[#This Row],[Qtd Filhos]]&gt;=8,1,0)</f>
        <v>0</v>
      </c>
      <c r="N165">
        <f>IF(Tabela1[[#This Row],[Idade]]&gt;50,1,0)</f>
        <v>1</v>
      </c>
      <c r="O165">
        <f>YEAR(Tabela1[[#This Row],[Data Nasc.]])</f>
        <v>1962</v>
      </c>
    </row>
    <row r="166" spans="9:15" x14ac:dyDescent="0.25">
      <c r="I166" s="14">
        <f>MATCH(J166,J:J,0)</f>
        <v>50</v>
      </c>
      <c r="J166" s="14" t="s">
        <v>37</v>
      </c>
      <c r="M166">
        <f>IF(Tabela1[[#This Row],[Qtd Filhos]]&gt;=8,1,0)</f>
        <v>0</v>
      </c>
      <c r="N166">
        <f>IF(Tabela1[[#This Row],[Idade]]&gt;50,1,0)</f>
        <v>0</v>
      </c>
      <c r="O166">
        <f>YEAR(Tabela1[[#This Row],[Data Nasc.]])</f>
        <v>2000</v>
      </c>
    </row>
    <row r="167" spans="9:15" x14ac:dyDescent="0.25">
      <c r="I167" s="14">
        <f>MATCH(J167,J:J,0)</f>
        <v>86</v>
      </c>
      <c r="J167" s="14" t="s">
        <v>128</v>
      </c>
      <c r="M167">
        <f>IF(Tabela1[[#This Row],[Qtd Filhos]]&gt;=8,1,0)</f>
        <v>0</v>
      </c>
      <c r="N167">
        <f>IF(Tabela1[[#This Row],[Idade]]&gt;50,1,0)</f>
        <v>0</v>
      </c>
      <c r="O167">
        <f>YEAR(Tabela1[[#This Row],[Data Nasc.]])</f>
        <v>1983</v>
      </c>
    </row>
    <row r="168" spans="9:15" x14ac:dyDescent="0.25">
      <c r="I168" s="14">
        <f>MATCH(J168,J:J,0)</f>
        <v>168</v>
      </c>
      <c r="J168" s="14" t="s">
        <v>61</v>
      </c>
      <c r="M168">
        <f>IF(Tabela1[[#This Row],[Qtd Filhos]]&gt;=8,1,0)</f>
        <v>0</v>
      </c>
      <c r="N168">
        <f>IF(Tabela1[[#This Row],[Idade]]&gt;50,1,0)</f>
        <v>0</v>
      </c>
      <c r="O168">
        <f>YEAR(Tabela1[[#This Row],[Data Nasc.]])</f>
        <v>1995</v>
      </c>
    </row>
    <row r="169" spans="9:15" x14ac:dyDescent="0.25">
      <c r="I169" s="14">
        <f>MATCH(J169,J:J,0)</f>
        <v>18</v>
      </c>
      <c r="J169" s="14" t="s">
        <v>42</v>
      </c>
      <c r="M169">
        <f>IF(Tabela1[[#This Row],[Qtd Filhos]]&gt;=8,1,0)</f>
        <v>0</v>
      </c>
      <c r="N169">
        <f>IF(Tabela1[[#This Row],[Idade]]&gt;50,1,0)</f>
        <v>0</v>
      </c>
      <c r="O169">
        <f>YEAR(Tabela1[[#This Row],[Data Nasc.]])</f>
        <v>1981</v>
      </c>
    </row>
    <row r="170" spans="9:15" x14ac:dyDescent="0.25">
      <c r="I170" s="14">
        <f>MATCH(J170,J:J,0)</f>
        <v>58</v>
      </c>
      <c r="J170" s="14" t="s">
        <v>116</v>
      </c>
      <c r="M170">
        <f>IF(Tabela1[[#This Row],[Qtd Filhos]]&gt;=8,1,0)</f>
        <v>0</v>
      </c>
      <c r="N170">
        <f>IF(Tabela1[[#This Row],[Idade]]&gt;50,1,0)</f>
        <v>0</v>
      </c>
      <c r="O170">
        <f>YEAR(Tabela1[[#This Row],[Data Nasc.]])</f>
        <v>1977</v>
      </c>
    </row>
    <row r="171" spans="9:15" x14ac:dyDescent="0.25">
      <c r="I171" s="14">
        <f>MATCH(J171,J:J,0)</f>
        <v>34</v>
      </c>
      <c r="J171" s="14" t="s">
        <v>235</v>
      </c>
      <c r="M171">
        <f>IF(Tabela1[[#This Row],[Qtd Filhos]]&gt;=8,1,0)</f>
        <v>0</v>
      </c>
      <c r="N171">
        <f>IF(Tabela1[[#This Row],[Idade]]&gt;50,1,0)</f>
        <v>0</v>
      </c>
      <c r="O171">
        <f>YEAR(Tabela1[[#This Row],[Data Nasc.]])</f>
        <v>2008</v>
      </c>
    </row>
    <row r="172" spans="9:15" x14ac:dyDescent="0.25">
      <c r="I172" s="14">
        <f>MATCH(J172,J:J,0)</f>
        <v>108</v>
      </c>
      <c r="J172" s="14" t="s">
        <v>227</v>
      </c>
      <c r="M172">
        <f>IF(Tabela1[[#This Row],[Qtd Filhos]]&gt;=8,1,0)</f>
        <v>0</v>
      </c>
      <c r="N172">
        <f>IF(Tabela1[[#This Row],[Idade]]&gt;50,1,0)</f>
        <v>0</v>
      </c>
      <c r="O172">
        <f>YEAR(Tabela1[[#This Row],[Data Nasc.]])</f>
        <v>2005</v>
      </c>
    </row>
    <row r="173" spans="9:15" x14ac:dyDescent="0.25">
      <c r="I173" s="14">
        <f>MATCH(J173,J:J,0)</f>
        <v>8</v>
      </c>
      <c r="J173" s="14" t="s">
        <v>192</v>
      </c>
      <c r="M173">
        <f>IF(Tabela1[[#This Row],[Qtd Filhos]]&gt;=8,1,0)</f>
        <v>0</v>
      </c>
      <c r="N173">
        <f>IF(Tabela1[[#This Row],[Idade]]&gt;50,1,0)</f>
        <v>1</v>
      </c>
      <c r="O173">
        <f>YEAR(Tabela1[[#This Row],[Data Nasc.]])</f>
        <v>1964</v>
      </c>
    </row>
    <row r="174" spans="9:15" x14ac:dyDescent="0.25">
      <c r="I174" s="14">
        <f>MATCH(J174,J:J,0)</f>
        <v>174</v>
      </c>
      <c r="J174" s="14" t="s">
        <v>275</v>
      </c>
      <c r="M174">
        <f>IF(Tabela1[[#This Row],[Qtd Filhos]]&gt;=8,1,0)</f>
        <v>0</v>
      </c>
      <c r="N174">
        <f>IF(Tabela1[[#This Row],[Idade]]&gt;50,1,0)</f>
        <v>1</v>
      </c>
      <c r="O174">
        <f>YEAR(Tabela1[[#This Row],[Data Nasc.]])</f>
        <v>1966</v>
      </c>
    </row>
    <row r="175" spans="9:15" x14ac:dyDescent="0.25">
      <c r="I175" s="14">
        <f>MATCH(J175,J:J,0)</f>
        <v>175</v>
      </c>
      <c r="J175" s="14" t="s">
        <v>145</v>
      </c>
      <c r="M175">
        <f>IF(Tabela1[[#This Row],[Qtd Filhos]]&gt;=8,1,0)</f>
        <v>0</v>
      </c>
      <c r="N175">
        <f>IF(Tabela1[[#This Row],[Idade]]&gt;50,1,0)</f>
        <v>1</v>
      </c>
      <c r="O175">
        <f>YEAR(Tabela1[[#This Row],[Data Nasc.]])</f>
        <v>1971</v>
      </c>
    </row>
    <row r="176" spans="9:15" x14ac:dyDescent="0.25">
      <c r="I176" s="14">
        <f>MATCH(J176,J:J,0)</f>
        <v>176</v>
      </c>
      <c r="J176" s="14" t="s">
        <v>186</v>
      </c>
      <c r="M176">
        <f>IF(Tabela1[[#This Row],[Qtd Filhos]]&gt;=8,1,0)</f>
        <v>0</v>
      </c>
      <c r="N176">
        <f>IF(Tabela1[[#This Row],[Idade]]&gt;50,1,0)</f>
        <v>0</v>
      </c>
      <c r="O176">
        <f>YEAR(Tabela1[[#This Row],[Data Nasc.]])</f>
        <v>1978</v>
      </c>
    </row>
    <row r="177" spans="9:15" x14ac:dyDescent="0.25">
      <c r="I177" s="14">
        <f>MATCH(J177,J:J,0)</f>
        <v>177</v>
      </c>
      <c r="J177" s="14" t="s">
        <v>25</v>
      </c>
      <c r="M177">
        <f>IF(Tabela1[[#This Row],[Qtd Filhos]]&gt;=8,1,0)</f>
        <v>0</v>
      </c>
      <c r="N177">
        <f>IF(Tabela1[[#This Row],[Idade]]&gt;50,1,0)</f>
        <v>1</v>
      </c>
      <c r="O177">
        <f>YEAR(Tabela1[[#This Row],[Data Nasc.]])</f>
        <v>1961</v>
      </c>
    </row>
    <row r="178" spans="9:15" x14ac:dyDescent="0.25">
      <c r="I178" s="14">
        <f>MATCH(J178,J:J,0)</f>
        <v>68</v>
      </c>
      <c r="J178" s="14" t="s">
        <v>285</v>
      </c>
      <c r="M178">
        <f>IF(Tabela1[[#This Row],[Qtd Filhos]]&gt;=8,1,0)</f>
        <v>0</v>
      </c>
      <c r="N178">
        <f>IF(Tabela1[[#This Row],[Idade]]&gt;50,1,0)</f>
        <v>0</v>
      </c>
      <c r="O178">
        <f>YEAR(Tabela1[[#This Row],[Data Nasc.]])</f>
        <v>2007</v>
      </c>
    </row>
    <row r="179" spans="9:15" x14ac:dyDescent="0.25">
      <c r="I179" s="14">
        <f>MATCH(J179,J:J,0)</f>
        <v>158</v>
      </c>
      <c r="J179" s="14" t="s">
        <v>112</v>
      </c>
      <c r="M179">
        <f>IF(Tabela1[[#This Row],[Qtd Filhos]]&gt;=8,1,0)</f>
        <v>0</v>
      </c>
      <c r="N179">
        <f>IF(Tabela1[[#This Row],[Idade]]&gt;50,1,0)</f>
        <v>0</v>
      </c>
      <c r="O179">
        <f>YEAR(Tabela1[[#This Row],[Data Nasc.]])</f>
        <v>1979</v>
      </c>
    </row>
    <row r="180" spans="9:15" x14ac:dyDescent="0.25">
      <c r="I180" s="14">
        <f>MATCH(J180,J:J,0)</f>
        <v>72</v>
      </c>
      <c r="J180" s="14" t="s">
        <v>179</v>
      </c>
      <c r="M180">
        <f>IF(Tabela1[[#This Row],[Qtd Filhos]]&gt;=8,1,0)</f>
        <v>0</v>
      </c>
      <c r="N180">
        <f>IF(Tabela1[[#This Row],[Idade]]&gt;50,1,0)</f>
        <v>0</v>
      </c>
      <c r="O180">
        <f>YEAR(Tabela1[[#This Row],[Data Nasc.]])</f>
        <v>1986</v>
      </c>
    </row>
    <row r="181" spans="9:15" x14ac:dyDescent="0.25">
      <c r="I181" s="14">
        <f>MATCH(J181,J:J,0)</f>
        <v>43</v>
      </c>
      <c r="J181" s="14" t="s">
        <v>154</v>
      </c>
      <c r="M181">
        <f>IF(Tabela1[[#This Row],[Qtd Filhos]]&gt;=8,1,0)</f>
        <v>0</v>
      </c>
      <c r="N181">
        <f>IF(Tabela1[[#This Row],[Idade]]&gt;50,1,0)</f>
        <v>0</v>
      </c>
      <c r="O181">
        <f>YEAR(Tabela1[[#This Row],[Data Nasc.]])</f>
        <v>2008</v>
      </c>
    </row>
    <row r="182" spans="9:15" x14ac:dyDescent="0.25">
      <c r="I182" s="14">
        <f>MATCH(J182,J:J,0)</f>
        <v>38</v>
      </c>
      <c r="J182" s="14" t="s">
        <v>246</v>
      </c>
      <c r="M182">
        <f>IF(Tabela1[[#This Row],[Qtd Filhos]]&gt;=8,1,0)</f>
        <v>0</v>
      </c>
      <c r="N182">
        <f>IF(Tabela1[[#This Row],[Idade]]&gt;50,1,0)</f>
        <v>1</v>
      </c>
      <c r="O182">
        <f>YEAR(Tabela1[[#This Row],[Data Nasc.]])</f>
        <v>1971</v>
      </c>
    </row>
    <row r="183" spans="9:15" x14ac:dyDescent="0.25">
      <c r="I183" s="14">
        <f>MATCH(J183,J:J,0)</f>
        <v>2</v>
      </c>
      <c r="J183" s="14" t="s">
        <v>56</v>
      </c>
      <c r="M183">
        <f>IF(Tabela1[[#This Row],[Qtd Filhos]]&gt;=8,1,0)</f>
        <v>0</v>
      </c>
      <c r="N183">
        <f>IF(Tabela1[[#This Row],[Idade]]&gt;50,1,0)</f>
        <v>0</v>
      </c>
      <c r="O183">
        <f>YEAR(Tabela1[[#This Row],[Data Nasc.]])</f>
        <v>1984</v>
      </c>
    </row>
    <row r="184" spans="9:15" x14ac:dyDescent="0.25">
      <c r="I184" s="14">
        <f>MATCH(J184,J:J,0)</f>
        <v>184</v>
      </c>
      <c r="J184" s="14" t="s">
        <v>98</v>
      </c>
      <c r="M184">
        <f>IF(Tabela1[[#This Row],[Qtd Filhos]]&gt;=8,1,0)</f>
        <v>0</v>
      </c>
      <c r="N184">
        <f>IF(Tabela1[[#This Row],[Idade]]&gt;50,1,0)</f>
        <v>1</v>
      </c>
      <c r="O184">
        <f>YEAR(Tabela1[[#This Row],[Data Nasc.]])</f>
        <v>1968</v>
      </c>
    </row>
    <row r="185" spans="9:15" x14ac:dyDescent="0.25">
      <c r="I185" s="14">
        <f>MATCH(J185,J:J,0)</f>
        <v>116</v>
      </c>
      <c r="J185" s="14" t="s">
        <v>76</v>
      </c>
      <c r="M185">
        <f>IF(Tabela1[[#This Row],[Qtd Filhos]]&gt;=8,1,0)</f>
        <v>0</v>
      </c>
      <c r="N185">
        <f>IF(Tabela1[[#This Row],[Idade]]&gt;50,1,0)</f>
        <v>0</v>
      </c>
      <c r="O185">
        <f>YEAR(Tabela1[[#This Row],[Data Nasc.]])</f>
        <v>2006</v>
      </c>
    </row>
    <row r="186" spans="9:15" x14ac:dyDescent="0.25">
      <c r="I186" s="14">
        <f>MATCH(J186,J:J,0)</f>
        <v>163</v>
      </c>
      <c r="J186" s="14" t="s">
        <v>265</v>
      </c>
      <c r="M186">
        <f>IF(Tabela1[[#This Row],[Qtd Filhos]]&gt;=8,1,0)</f>
        <v>0</v>
      </c>
      <c r="N186">
        <f>IF(Tabela1[[#This Row],[Idade]]&gt;50,1,0)</f>
        <v>0</v>
      </c>
      <c r="O186">
        <f>YEAR(Tabela1[[#This Row],[Data Nasc.]])</f>
        <v>2001</v>
      </c>
    </row>
    <row r="187" spans="9:15" x14ac:dyDescent="0.25">
      <c r="I187" s="14">
        <f>MATCH(J187,J:J,0)</f>
        <v>50</v>
      </c>
      <c r="J187" s="14" t="s">
        <v>37</v>
      </c>
      <c r="M187">
        <f>IF(Tabela1[[#This Row],[Qtd Filhos]]&gt;=8,1,0)</f>
        <v>0</v>
      </c>
      <c r="N187">
        <f>IF(Tabela1[[#This Row],[Idade]]&gt;50,1,0)</f>
        <v>0</v>
      </c>
      <c r="O187">
        <f>YEAR(Tabela1[[#This Row],[Data Nasc.]])</f>
        <v>1987</v>
      </c>
    </row>
    <row r="188" spans="9:15" x14ac:dyDescent="0.25">
      <c r="I188" s="14">
        <f>MATCH(J188,J:J,0)</f>
        <v>66</v>
      </c>
      <c r="J188" s="14" t="s">
        <v>139</v>
      </c>
      <c r="M188">
        <f>IF(Tabela1[[#This Row],[Qtd Filhos]]&gt;=8,1,0)</f>
        <v>0</v>
      </c>
      <c r="N188">
        <f>IF(Tabela1[[#This Row],[Idade]]&gt;50,1,0)</f>
        <v>0</v>
      </c>
      <c r="O188">
        <f>YEAR(Tabela1[[#This Row],[Data Nasc.]])</f>
        <v>1986</v>
      </c>
    </row>
    <row r="189" spans="9:15" x14ac:dyDescent="0.25">
      <c r="I189" s="14">
        <f>MATCH(J189,J:J,0)</f>
        <v>129</v>
      </c>
      <c r="J189" s="14" t="s">
        <v>156</v>
      </c>
      <c r="M189">
        <f>IF(Tabela1[[#This Row],[Qtd Filhos]]&gt;=8,1,0)</f>
        <v>0</v>
      </c>
      <c r="N189">
        <f>IF(Tabela1[[#This Row],[Idade]]&gt;50,1,0)</f>
        <v>0</v>
      </c>
      <c r="O189">
        <f>YEAR(Tabela1[[#This Row],[Data Nasc.]])</f>
        <v>1978</v>
      </c>
    </row>
    <row r="190" spans="9:15" x14ac:dyDescent="0.25">
      <c r="I190" s="14">
        <f>MATCH(J190,J:J,0)</f>
        <v>58</v>
      </c>
      <c r="J190" s="14" t="s">
        <v>116</v>
      </c>
      <c r="M190">
        <f>IF(Tabela1[[#This Row],[Qtd Filhos]]&gt;=8,1,0)</f>
        <v>0</v>
      </c>
      <c r="N190">
        <f>IF(Tabela1[[#This Row],[Idade]]&gt;50,1,0)</f>
        <v>0</v>
      </c>
      <c r="O190">
        <f>YEAR(Tabela1[[#This Row],[Data Nasc.]])</f>
        <v>2006</v>
      </c>
    </row>
    <row r="191" spans="9:15" x14ac:dyDescent="0.25">
      <c r="I191" s="14">
        <f>MATCH(J191,J:J,0)</f>
        <v>56</v>
      </c>
      <c r="J191" s="14" t="s">
        <v>18</v>
      </c>
      <c r="M191">
        <f>IF(Tabela1[[#This Row],[Qtd Filhos]]&gt;=8,1,0)</f>
        <v>0</v>
      </c>
      <c r="N191">
        <f>IF(Tabela1[[#This Row],[Idade]]&gt;50,1,0)</f>
        <v>0</v>
      </c>
      <c r="O191">
        <f>YEAR(Tabela1[[#This Row],[Data Nasc.]])</f>
        <v>1993</v>
      </c>
    </row>
    <row r="192" spans="9:15" x14ac:dyDescent="0.25">
      <c r="I192" s="14">
        <f>MATCH(J192,J:J,0)</f>
        <v>27</v>
      </c>
      <c r="J192" s="14" t="s">
        <v>207</v>
      </c>
      <c r="M192">
        <f>IF(Tabela1[[#This Row],[Qtd Filhos]]&gt;=8,1,0)</f>
        <v>0</v>
      </c>
      <c r="N192">
        <f>IF(Tabela1[[#This Row],[Idade]]&gt;50,1,0)</f>
        <v>0</v>
      </c>
      <c r="O192">
        <f>YEAR(Tabela1[[#This Row],[Data Nasc.]])</f>
        <v>1998</v>
      </c>
    </row>
    <row r="193" spans="9:15" x14ac:dyDescent="0.25">
      <c r="I193" s="14">
        <f>MATCH(J193,J:J,0)</f>
        <v>163</v>
      </c>
      <c r="J193" s="14" t="s">
        <v>265</v>
      </c>
      <c r="M193">
        <f>IF(Tabela1[[#This Row],[Qtd Filhos]]&gt;=8,1,0)</f>
        <v>0</v>
      </c>
      <c r="N193">
        <f>IF(Tabela1[[#This Row],[Idade]]&gt;50,1,0)</f>
        <v>0</v>
      </c>
      <c r="O193">
        <f>YEAR(Tabela1[[#This Row],[Data Nasc.]])</f>
        <v>1981</v>
      </c>
    </row>
    <row r="194" spans="9:15" x14ac:dyDescent="0.25">
      <c r="I194" s="14">
        <f>MATCH(J194,J:J,0)</f>
        <v>176</v>
      </c>
      <c r="J194" s="14" t="s">
        <v>186</v>
      </c>
      <c r="M194">
        <f>IF(Tabela1[[#This Row],[Qtd Filhos]]&gt;=8,1,0)</f>
        <v>0</v>
      </c>
      <c r="N194">
        <f>IF(Tabela1[[#This Row],[Idade]]&gt;50,1,0)</f>
        <v>1</v>
      </c>
      <c r="O194">
        <f>YEAR(Tabela1[[#This Row],[Data Nasc.]])</f>
        <v>1973</v>
      </c>
    </row>
    <row r="195" spans="9:15" x14ac:dyDescent="0.25">
      <c r="I195" s="14">
        <f>MATCH(J195,J:J,0)</f>
        <v>66</v>
      </c>
      <c r="J195" s="14" t="s">
        <v>139</v>
      </c>
      <c r="M195">
        <f>IF(Tabela1[[#This Row],[Qtd Filhos]]&gt;=8,1,0)</f>
        <v>0</v>
      </c>
      <c r="N195">
        <f>IF(Tabela1[[#This Row],[Idade]]&gt;50,1,0)</f>
        <v>0</v>
      </c>
      <c r="O195">
        <f>YEAR(Tabela1[[#This Row],[Data Nasc.]])</f>
        <v>1992</v>
      </c>
    </row>
    <row r="196" spans="9:15" x14ac:dyDescent="0.25">
      <c r="I196" s="14">
        <f>MATCH(J196,J:J,0)</f>
        <v>15</v>
      </c>
      <c r="J196" s="14" t="s">
        <v>31</v>
      </c>
      <c r="M196">
        <f>IF(Tabela1[[#This Row],[Qtd Filhos]]&gt;=8,1,0)</f>
        <v>0</v>
      </c>
      <c r="N196">
        <f>IF(Tabela1[[#This Row],[Idade]]&gt;50,1,0)</f>
        <v>1</v>
      </c>
      <c r="O196">
        <f>YEAR(Tabela1[[#This Row],[Data Nasc.]])</f>
        <v>1968</v>
      </c>
    </row>
    <row r="197" spans="9:15" x14ac:dyDescent="0.25">
      <c r="I197" s="14">
        <f>MATCH(J197,J:J,0)</f>
        <v>177</v>
      </c>
      <c r="J197" s="14" t="s">
        <v>25</v>
      </c>
      <c r="M197">
        <f>IF(Tabela1[[#This Row],[Qtd Filhos]]&gt;=8,1,0)</f>
        <v>0</v>
      </c>
      <c r="N197">
        <f>IF(Tabela1[[#This Row],[Idade]]&gt;50,1,0)</f>
        <v>1</v>
      </c>
      <c r="O197">
        <f>YEAR(Tabela1[[#This Row],[Data Nasc.]])</f>
        <v>1965</v>
      </c>
    </row>
    <row r="198" spans="9:15" x14ac:dyDescent="0.25">
      <c r="I198" s="14">
        <f>MATCH(J198,J:J,0)</f>
        <v>163</v>
      </c>
      <c r="J198" s="14" t="s">
        <v>265</v>
      </c>
      <c r="M198">
        <f>IF(Tabela1[[#This Row],[Qtd Filhos]]&gt;=8,1,0)</f>
        <v>0</v>
      </c>
      <c r="N198">
        <f>IF(Tabela1[[#This Row],[Idade]]&gt;50,1,0)</f>
        <v>0</v>
      </c>
      <c r="O198">
        <f>YEAR(Tabela1[[#This Row],[Data Nasc.]])</f>
        <v>1999</v>
      </c>
    </row>
    <row r="199" spans="9:15" x14ac:dyDescent="0.25">
      <c r="I199" s="14">
        <f>MATCH(J199,J:J,0)</f>
        <v>32</v>
      </c>
      <c r="J199" s="14" t="s">
        <v>164</v>
      </c>
      <c r="M199">
        <f>IF(Tabela1[[#This Row],[Qtd Filhos]]&gt;=8,1,0)</f>
        <v>0</v>
      </c>
      <c r="N199">
        <f>IF(Tabela1[[#This Row],[Idade]]&gt;50,1,0)</f>
        <v>0</v>
      </c>
      <c r="O199">
        <f>YEAR(Tabela1[[#This Row],[Data Nasc.]])</f>
        <v>2004</v>
      </c>
    </row>
    <row r="200" spans="9:15" x14ac:dyDescent="0.25">
      <c r="I200" s="14">
        <f>MATCH(J200,J:J,0)</f>
        <v>29</v>
      </c>
      <c r="J200" s="14" t="s">
        <v>209</v>
      </c>
      <c r="M200">
        <f>IF(Tabela1[[#This Row],[Qtd Filhos]]&gt;=8,1,0)</f>
        <v>0</v>
      </c>
      <c r="N200">
        <f>IF(Tabela1[[#This Row],[Idade]]&gt;50,1,0)</f>
        <v>0</v>
      </c>
      <c r="O200">
        <f>YEAR(Tabela1[[#This Row],[Data Nasc.]])</f>
        <v>2002</v>
      </c>
    </row>
    <row r="201" spans="9:15" x14ac:dyDescent="0.25">
      <c r="I201" s="14">
        <f>MATCH(J201,J:J,0)</f>
        <v>83</v>
      </c>
      <c r="J201" s="14" t="s">
        <v>175</v>
      </c>
      <c r="M201">
        <f>IF(Tabela1[[#This Row],[Qtd Filhos]]&gt;=8,1,0)</f>
        <v>0</v>
      </c>
      <c r="N201">
        <f>IF(Tabela1[[#This Row],[Idade]]&gt;50,1,0)</f>
        <v>0</v>
      </c>
      <c r="O201">
        <f>YEAR(Tabela1[[#This Row],[Data Nasc.]])</f>
        <v>1986</v>
      </c>
    </row>
    <row r="202" spans="9:15" x14ac:dyDescent="0.25">
      <c r="I202" s="14">
        <f>MATCH(J202,J:J,0)</f>
        <v>202</v>
      </c>
      <c r="J202" s="14" t="s">
        <v>218</v>
      </c>
      <c r="M202">
        <f>IF(Tabela1[[#This Row],[Qtd Filhos]]&gt;=8,1,0)</f>
        <v>0</v>
      </c>
      <c r="N202">
        <f>IF(Tabela1[[#This Row],[Idade]]&gt;50,1,0)</f>
        <v>1</v>
      </c>
      <c r="O202">
        <f>YEAR(Tabela1[[#This Row],[Data Nasc.]])</f>
        <v>1967</v>
      </c>
    </row>
    <row r="203" spans="9:15" x14ac:dyDescent="0.25">
      <c r="I203" s="14">
        <f>MATCH(J203,J:J,0)</f>
        <v>26</v>
      </c>
      <c r="J203" s="14" t="s">
        <v>287</v>
      </c>
      <c r="M203">
        <f>IF(Tabela1[[#This Row],[Qtd Filhos]]&gt;=8,1,0)</f>
        <v>0</v>
      </c>
      <c r="N203">
        <f>IF(Tabela1[[#This Row],[Idade]]&gt;50,1,0)</f>
        <v>1</v>
      </c>
      <c r="O203">
        <f>YEAR(Tabela1[[#This Row],[Data Nasc.]])</f>
        <v>1963</v>
      </c>
    </row>
    <row r="204" spans="9:15" x14ac:dyDescent="0.25">
      <c r="I204" s="14">
        <f>MATCH(J204,J:J,0)</f>
        <v>14</v>
      </c>
      <c r="J204" s="14" t="s">
        <v>184</v>
      </c>
      <c r="M204">
        <f>IF(Tabela1[[#This Row],[Qtd Filhos]]&gt;=8,1,0)</f>
        <v>0</v>
      </c>
      <c r="N204">
        <f>IF(Tabela1[[#This Row],[Idade]]&gt;50,1,0)</f>
        <v>0</v>
      </c>
      <c r="O204">
        <f>YEAR(Tabela1[[#This Row],[Data Nasc.]])</f>
        <v>1978</v>
      </c>
    </row>
    <row r="205" spans="9:15" x14ac:dyDescent="0.25">
      <c r="I205" s="14">
        <f>MATCH(J205,J:J,0)</f>
        <v>71</v>
      </c>
      <c r="J205" s="14" t="s">
        <v>134</v>
      </c>
      <c r="M205">
        <f>IF(Tabela1[[#This Row],[Qtd Filhos]]&gt;=8,1,0)</f>
        <v>0</v>
      </c>
      <c r="N205">
        <f>IF(Tabela1[[#This Row],[Idade]]&gt;50,1,0)</f>
        <v>0</v>
      </c>
      <c r="O205">
        <f>YEAR(Tabela1[[#This Row],[Data Nasc.]])</f>
        <v>1987</v>
      </c>
    </row>
    <row r="206" spans="9:15" x14ac:dyDescent="0.25">
      <c r="I206" s="14">
        <f>MATCH(J206,J:J,0)</f>
        <v>43</v>
      </c>
      <c r="J206" s="14" t="s">
        <v>154</v>
      </c>
      <c r="M206">
        <f>IF(Tabela1[[#This Row],[Qtd Filhos]]&gt;=8,1,0)</f>
        <v>0</v>
      </c>
      <c r="N206">
        <f>IF(Tabela1[[#This Row],[Idade]]&gt;50,1,0)</f>
        <v>0</v>
      </c>
      <c r="O206">
        <f>YEAR(Tabela1[[#This Row],[Data Nasc.]])</f>
        <v>2006</v>
      </c>
    </row>
    <row r="207" spans="9:15" x14ac:dyDescent="0.25">
      <c r="I207" s="14">
        <f>MATCH(J207,J:J,0)</f>
        <v>21</v>
      </c>
      <c r="J207" s="14" t="s">
        <v>244</v>
      </c>
      <c r="M207">
        <f>IF(Tabela1[[#This Row],[Qtd Filhos]]&gt;=8,1,0)</f>
        <v>0</v>
      </c>
      <c r="N207">
        <f>IF(Tabela1[[#This Row],[Idade]]&gt;50,1,0)</f>
        <v>0</v>
      </c>
      <c r="O207">
        <f>YEAR(Tabela1[[#This Row],[Data Nasc.]])</f>
        <v>1976</v>
      </c>
    </row>
    <row r="208" spans="9:15" x14ac:dyDescent="0.25">
      <c r="I208" s="14">
        <f>MATCH(J208,J:J,0)</f>
        <v>38</v>
      </c>
      <c r="J208" s="14" t="s">
        <v>246</v>
      </c>
      <c r="M208">
        <f>IF(Tabela1[[#This Row],[Qtd Filhos]]&gt;=8,1,0)</f>
        <v>0</v>
      </c>
      <c r="N208">
        <f>IF(Tabela1[[#This Row],[Idade]]&gt;50,1,0)</f>
        <v>1</v>
      </c>
      <c r="O208">
        <f>YEAR(Tabela1[[#This Row],[Data Nasc.]])</f>
        <v>1974</v>
      </c>
    </row>
    <row r="209" spans="9:15" x14ac:dyDescent="0.25">
      <c r="I209" s="14">
        <f>MATCH(J209,J:J,0)</f>
        <v>85</v>
      </c>
      <c r="J209" s="14" t="s">
        <v>101</v>
      </c>
      <c r="M209">
        <f>IF(Tabela1[[#This Row],[Qtd Filhos]]&gt;=8,1,0)</f>
        <v>0</v>
      </c>
      <c r="N209">
        <f>IF(Tabela1[[#This Row],[Idade]]&gt;50,1,0)</f>
        <v>0</v>
      </c>
      <c r="O209">
        <f>YEAR(Tabela1[[#This Row],[Data Nasc.]])</f>
        <v>1990</v>
      </c>
    </row>
    <row r="210" spans="9:15" x14ac:dyDescent="0.25">
      <c r="I210" s="14">
        <f>MATCH(J210,J:J,0)</f>
        <v>24</v>
      </c>
      <c r="J210" s="14" t="s">
        <v>225</v>
      </c>
      <c r="M210">
        <f>IF(Tabela1[[#This Row],[Qtd Filhos]]&gt;=8,1,0)</f>
        <v>0</v>
      </c>
      <c r="N210">
        <f>IF(Tabela1[[#This Row],[Idade]]&gt;50,1,0)</f>
        <v>1</v>
      </c>
      <c r="O210">
        <f>YEAR(Tabela1[[#This Row],[Data Nasc.]])</f>
        <v>1962</v>
      </c>
    </row>
    <row r="211" spans="9:15" x14ac:dyDescent="0.25">
      <c r="I211" s="14">
        <f>MATCH(J211,J:J,0)</f>
        <v>24</v>
      </c>
      <c r="J211" s="14" t="s">
        <v>225</v>
      </c>
      <c r="M211">
        <f>IF(Tabela1[[#This Row],[Qtd Filhos]]&gt;=8,1,0)</f>
        <v>0</v>
      </c>
      <c r="N211">
        <f>IF(Tabela1[[#This Row],[Idade]]&gt;50,1,0)</f>
        <v>0</v>
      </c>
      <c r="O211">
        <f>YEAR(Tabela1[[#This Row],[Data Nasc.]])</f>
        <v>2006</v>
      </c>
    </row>
    <row r="212" spans="9:15" x14ac:dyDescent="0.25">
      <c r="I212" s="14">
        <f>MATCH(J212,J:J,0)</f>
        <v>212</v>
      </c>
      <c r="J212" s="14" t="s">
        <v>201</v>
      </c>
      <c r="M212">
        <f>IF(Tabela1[[#This Row],[Qtd Filhos]]&gt;=8,1,0)</f>
        <v>0</v>
      </c>
      <c r="N212">
        <f>IF(Tabela1[[#This Row],[Idade]]&gt;50,1,0)</f>
        <v>0</v>
      </c>
      <c r="O212">
        <f>YEAR(Tabela1[[#This Row],[Data Nasc.]])</f>
        <v>1976</v>
      </c>
    </row>
    <row r="213" spans="9:15" x14ac:dyDescent="0.25">
      <c r="I213" s="14">
        <f>MATCH(J213,J:J,0)</f>
        <v>76</v>
      </c>
      <c r="J213" s="14" t="s">
        <v>251</v>
      </c>
      <c r="M213">
        <f>IF(Tabela1[[#This Row],[Qtd Filhos]]&gt;=8,1,0)</f>
        <v>0</v>
      </c>
      <c r="N213">
        <f>IF(Tabela1[[#This Row],[Idade]]&gt;50,1,0)</f>
        <v>0</v>
      </c>
      <c r="O213">
        <f>YEAR(Tabela1[[#This Row],[Data Nasc.]])</f>
        <v>1987</v>
      </c>
    </row>
    <row r="214" spans="9:15" x14ac:dyDescent="0.25">
      <c r="I214" s="14">
        <f>MATCH(J214,J:J,0)</f>
        <v>45</v>
      </c>
      <c r="J214" s="14" t="s">
        <v>149</v>
      </c>
      <c r="M214">
        <f>IF(Tabela1[[#This Row],[Qtd Filhos]]&gt;=8,1,0)</f>
        <v>0</v>
      </c>
      <c r="N214">
        <f>IF(Tabela1[[#This Row],[Idade]]&gt;50,1,0)</f>
        <v>1</v>
      </c>
      <c r="O214">
        <f>YEAR(Tabela1[[#This Row],[Data Nasc.]])</f>
        <v>1968</v>
      </c>
    </row>
    <row r="215" spans="9:15" x14ac:dyDescent="0.25">
      <c r="I215" s="14">
        <f>MATCH(J215,J:J,0)</f>
        <v>116</v>
      </c>
      <c r="J215" s="14" t="s">
        <v>76</v>
      </c>
      <c r="M215">
        <f>IF(Tabela1[[#This Row],[Qtd Filhos]]&gt;=8,1,0)</f>
        <v>0</v>
      </c>
      <c r="N215">
        <f>IF(Tabela1[[#This Row],[Idade]]&gt;50,1,0)</f>
        <v>0</v>
      </c>
      <c r="O215">
        <f>YEAR(Tabela1[[#This Row],[Data Nasc.]])</f>
        <v>1977</v>
      </c>
    </row>
    <row r="216" spans="9:15" x14ac:dyDescent="0.25">
      <c r="I216" s="14">
        <f>MATCH(J216,J:J,0)</f>
        <v>25</v>
      </c>
      <c r="J216" s="14" t="s">
        <v>214</v>
      </c>
      <c r="M216">
        <f>IF(Tabela1[[#This Row],[Qtd Filhos]]&gt;=8,1,0)</f>
        <v>0</v>
      </c>
      <c r="N216">
        <f>IF(Tabela1[[#This Row],[Idade]]&gt;50,1,0)</f>
        <v>0</v>
      </c>
      <c r="O216">
        <f>YEAR(Tabela1[[#This Row],[Data Nasc.]])</f>
        <v>1994</v>
      </c>
    </row>
    <row r="217" spans="9:15" x14ac:dyDescent="0.25">
      <c r="I217" s="14">
        <f>MATCH(J217,J:J,0)</f>
        <v>45</v>
      </c>
      <c r="J217" s="14" t="s">
        <v>149</v>
      </c>
      <c r="M217">
        <f>IF(Tabela1[[#This Row],[Qtd Filhos]]&gt;=8,1,0)</f>
        <v>0</v>
      </c>
      <c r="N217">
        <f>IF(Tabela1[[#This Row],[Idade]]&gt;50,1,0)</f>
        <v>1</v>
      </c>
      <c r="O217">
        <f>YEAR(Tabela1[[#This Row],[Data Nasc.]])</f>
        <v>1969</v>
      </c>
    </row>
    <row r="218" spans="9:15" x14ac:dyDescent="0.25">
      <c r="I218" s="14">
        <f>MATCH(J218,J:J,0)</f>
        <v>40</v>
      </c>
      <c r="J218" s="14" t="s">
        <v>173</v>
      </c>
      <c r="M218">
        <f>IF(Tabela1[[#This Row],[Qtd Filhos]]&gt;=8,1,0)</f>
        <v>0</v>
      </c>
      <c r="N218">
        <f>IF(Tabela1[[#This Row],[Idade]]&gt;50,1,0)</f>
        <v>0</v>
      </c>
      <c r="O218">
        <f>YEAR(Tabela1[[#This Row],[Data Nasc.]])</f>
        <v>2004</v>
      </c>
    </row>
    <row r="219" spans="9:15" x14ac:dyDescent="0.25">
      <c r="I219" s="14">
        <f>MATCH(J219,J:J,0)</f>
        <v>8</v>
      </c>
      <c r="J219" s="14" t="s">
        <v>192</v>
      </c>
      <c r="M219">
        <f>IF(Tabela1[[#This Row],[Qtd Filhos]]&gt;=8,1,0)</f>
        <v>0</v>
      </c>
      <c r="N219">
        <f>IF(Tabela1[[#This Row],[Idade]]&gt;50,1,0)</f>
        <v>0</v>
      </c>
      <c r="O219">
        <f>YEAR(Tabela1[[#This Row],[Data Nasc.]])</f>
        <v>1999</v>
      </c>
    </row>
    <row r="220" spans="9:15" x14ac:dyDescent="0.25">
      <c r="I220" s="14">
        <f>MATCH(J220,J:J,0)</f>
        <v>220</v>
      </c>
      <c r="J220" s="14" t="s">
        <v>224</v>
      </c>
      <c r="M220">
        <f>IF(Tabela1[[#This Row],[Qtd Filhos]]&gt;=8,1,0)</f>
        <v>0</v>
      </c>
      <c r="N220">
        <f>IF(Tabela1[[#This Row],[Idade]]&gt;50,1,0)</f>
        <v>0</v>
      </c>
      <c r="O220">
        <f>YEAR(Tabela1[[#This Row],[Data Nasc.]])</f>
        <v>1988</v>
      </c>
    </row>
    <row r="221" spans="9:15" x14ac:dyDescent="0.25">
      <c r="I221" s="14">
        <f>MATCH(J221,J:J,0)</f>
        <v>63</v>
      </c>
      <c r="J221" s="14" t="s">
        <v>279</v>
      </c>
      <c r="M221">
        <f>IF(Tabela1[[#This Row],[Qtd Filhos]]&gt;=8,1,0)</f>
        <v>0</v>
      </c>
      <c r="N221">
        <f>IF(Tabela1[[#This Row],[Idade]]&gt;50,1,0)</f>
        <v>1</v>
      </c>
      <c r="O221">
        <f>YEAR(Tabela1[[#This Row],[Data Nasc.]])</f>
        <v>1964</v>
      </c>
    </row>
    <row r="222" spans="9:15" x14ac:dyDescent="0.25">
      <c r="I222" s="14">
        <f>MATCH(J222,J:J,0)</f>
        <v>68</v>
      </c>
      <c r="J222" s="14" t="s">
        <v>285</v>
      </c>
      <c r="M222">
        <f>IF(Tabela1[[#This Row],[Qtd Filhos]]&gt;=8,1,0)</f>
        <v>0</v>
      </c>
      <c r="N222">
        <f>IF(Tabela1[[#This Row],[Idade]]&gt;50,1,0)</f>
        <v>0</v>
      </c>
      <c r="O222">
        <f>YEAR(Tabela1[[#This Row],[Data Nasc.]])</f>
        <v>1985</v>
      </c>
    </row>
    <row r="223" spans="9:15" x14ac:dyDescent="0.25">
      <c r="I223" s="14">
        <f>MATCH(J223,J:J,0)</f>
        <v>94</v>
      </c>
      <c r="J223" s="14" t="s">
        <v>293</v>
      </c>
      <c r="M223">
        <f>IF(Tabela1[[#This Row],[Qtd Filhos]]&gt;=8,1,0)</f>
        <v>0</v>
      </c>
      <c r="N223">
        <f>IF(Tabela1[[#This Row],[Idade]]&gt;50,1,0)</f>
        <v>1</v>
      </c>
      <c r="O223">
        <f>YEAR(Tabela1[[#This Row],[Data Nasc.]])</f>
        <v>1973</v>
      </c>
    </row>
    <row r="224" spans="9:15" x14ac:dyDescent="0.25">
      <c r="I224" s="14">
        <f>MATCH(J224,J:J,0)</f>
        <v>69</v>
      </c>
      <c r="J224" s="14" t="s">
        <v>160</v>
      </c>
      <c r="M224">
        <f>IF(Tabela1[[#This Row],[Qtd Filhos]]&gt;=8,1,0)</f>
        <v>0</v>
      </c>
      <c r="N224">
        <f>IF(Tabela1[[#This Row],[Idade]]&gt;50,1,0)</f>
        <v>0</v>
      </c>
      <c r="O224">
        <f>YEAR(Tabela1[[#This Row],[Data Nasc.]])</f>
        <v>1985</v>
      </c>
    </row>
    <row r="225" spans="9:15" x14ac:dyDescent="0.25">
      <c r="I225" s="14">
        <f>MATCH(J225,J:J,0)</f>
        <v>11</v>
      </c>
      <c r="J225" s="14" t="s">
        <v>166</v>
      </c>
      <c r="M225">
        <f>IF(Tabela1[[#This Row],[Qtd Filhos]]&gt;=8,1,0)</f>
        <v>0</v>
      </c>
      <c r="N225">
        <f>IF(Tabela1[[#This Row],[Idade]]&gt;50,1,0)</f>
        <v>0</v>
      </c>
      <c r="O225">
        <f>YEAR(Tabela1[[#This Row],[Data Nasc.]])</f>
        <v>1980</v>
      </c>
    </row>
    <row r="226" spans="9:15" x14ac:dyDescent="0.25">
      <c r="I226" s="14">
        <f>MATCH(J226,J:J,0)</f>
        <v>174</v>
      </c>
      <c r="J226" s="14" t="s">
        <v>275</v>
      </c>
      <c r="M226">
        <f>IF(Tabela1[[#This Row],[Qtd Filhos]]&gt;=8,1,0)</f>
        <v>0</v>
      </c>
      <c r="N226">
        <f>IF(Tabela1[[#This Row],[Idade]]&gt;50,1,0)</f>
        <v>0</v>
      </c>
      <c r="O226">
        <f>YEAR(Tabela1[[#This Row],[Data Nasc.]])</f>
        <v>2005</v>
      </c>
    </row>
    <row r="227" spans="9:15" x14ac:dyDescent="0.25">
      <c r="I227" s="14">
        <f>MATCH(J227,J:J,0)</f>
        <v>72</v>
      </c>
      <c r="J227" s="14" t="s">
        <v>179</v>
      </c>
      <c r="M227">
        <f>IF(Tabela1[[#This Row],[Qtd Filhos]]&gt;=8,1,0)</f>
        <v>0</v>
      </c>
      <c r="N227">
        <f>IF(Tabela1[[#This Row],[Idade]]&gt;50,1,0)</f>
        <v>1</v>
      </c>
      <c r="O227">
        <f>YEAR(Tabela1[[#This Row],[Data Nasc.]])</f>
        <v>1965</v>
      </c>
    </row>
    <row r="228" spans="9:15" x14ac:dyDescent="0.25">
      <c r="I228" s="14">
        <f>MATCH(J228,J:J,0)</f>
        <v>85</v>
      </c>
      <c r="J228" s="14" t="s">
        <v>101</v>
      </c>
      <c r="M228">
        <f>IF(Tabela1[[#This Row],[Qtd Filhos]]&gt;=8,1,0)</f>
        <v>0</v>
      </c>
      <c r="N228">
        <f>IF(Tabela1[[#This Row],[Idade]]&gt;50,1,0)</f>
        <v>1</v>
      </c>
      <c r="O228">
        <f>YEAR(Tabela1[[#This Row],[Data Nasc.]])</f>
        <v>1967</v>
      </c>
    </row>
    <row r="229" spans="9:15" x14ac:dyDescent="0.25">
      <c r="I229" s="14">
        <f>MATCH(J229,J:J,0)</f>
        <v>134</v>
      </c>
      <c r="J229" s="14" t="s">
        <v>141</v>
      </c>
      <c r="M229">
        <f>IF(Tabela1[[#This Row],[Qtd Filhos]]&gt;=8,1,0)</f>
        <v>0</v>
      </c>
      <c r="N229">
        <f>IF(Tabela1[[#This Row],[Idade]]&gt;50,1,0)</f>
        <v>1</v>
      </c>
      <c r="O229">
        <f>YEAR(Tabela1[[#This Row],[Data Nasc.]])</f>
        <v>1972</v>
      </c>
    </row>
    <row r="230" spans="9:15" x14ac:dyDescent="0.25">
      <c r="I230" s="14">
        <f>MATCH(J230,J:J,0)</f>
        <v>230</v>
      </c>
      <c r="J230" s="14" t="s">
        <v>216</v>
      </c>
      <c r="M230">
        <f>IF(Tabela1[[#This Row],[Qtd Filhos]]&gt;=8,1,0)</f>
        <v>0</v>
      </c>
      <c r="N230">
        <f>IF(Tabela1[[#This Row],[Idade]]&gt;50,1,0)</f>
        <v>1</v>
      </c>
      <c r="O230">
        <f>YEAR(Tabela1[[#This Row],[Data Nasc.]])</f>
        <v>1964</v>
      </c>
    </row>
    <row r="231" spans="9:15" x14ac:dyDescent="0.25">
      <c r="I231" s="14">
        <f>MATCH(J231,J:J,0)</f>
        <v>149</v>
      </c>
      <c r="J231" s="14" t="s">
        <v>162</v>
      </c>
      <c r="M231">
        <f>IF(Tabela1[[#This Row],[Qtd Filhos]]&gt;=8,1,0)</f>
        <v>0</v>
      </c>
      <c r="N231">
        <f>IF(Tabela1[[#This Row],[Idade]]&gt;50,1,0)</f>
        <v>0</v>
      </c>
      <c r="O231">
        <f>YEAR(Tabela1[[#This Row],[Data Nasc.]])</f>
        <v>1997</v>
      </c>
    </row>
    <row r="232" spans="9:15" x14ac:dyDescent="0.25">
      <c r="I232" s="14">
        <f>MATCH(J232,J:J,0)</f>
        <v>7</v>
      </c>
      <c r="J232" s="14" t="s">
        <v>118</v>
      </c>
      <c r="M232">
        <f>IF(Tabela1[[#This Row],[Qtd Filhos]]&gt;=8,1,0)</f>
        <v>0</v>
      </c>
      <c r="N232">
        <f>IF(Tabela1[[#This Row],[Idade]]&gt;50,1,0)</f>
        <v>1</v>
      </c>
      <c r="O232">
        <f>YEAR(Tabela1[[#This Row],[Data Nasc.]])</f>
        <v>1973</v>
      </c>
    </row>
    <row r="233" spans="9:15" x14ac:dyDescent="0.25">
      <c r="I233" s="14">
        <f>MATCH(J233,J:J,0)</f>
        <v>233</v>
      </c>
      <c r="J233" s="14" t="s">
        <v>123</v>
      </c>
      <c r="M233">
        <f>IF(Tabela1[[#This Row],[Qtd Filhos]]&gt;=8,1,0)</f>
        <v>0</v>
      </c>
      <c r="N233">
        <f>IF(Tabela1[[#This Row],[Idade]]&gt;50,1,0)</f>
        <v>0</v>
      </c>
      <c r="O233">
        <f>YEAR(Tabela1[[#This Row],[Data Nasc.]])</f>
        <v>2001</v>
      </c>
    </row>
    <row r="234" spans="9:15" x14ac:dyDescent="0.25">
      <c r="I234" s="14">
        <f>MATCH(J234,J:J,0)</f>
        <v>54</v>
      </c>
      <c r="J234" s="14" t="s">
        <v>125</v>
      </c>
      <c r="M234">
        <f>IF(Tabela1[[#This Row],[Qtd Filhos]]&gt;=8,1,0)</f>
        <v>0</v>
      </c>
      <c r="N234">
        <f>IF(Tabela1[[#This Row],[Idade]]&gt;50,1,0)</f>
        <v>0</v>
      </c>
      <c r="O234">
        <f>YEAR(Tabela1[[#This Row],[Data Nasc.]])</f>
        <v>1976</v>
      </c>
    </row>
    <row r="235" spans="9:15" x14ac:dyDescent="0.25">
      <c r="I235" s="14">
        <f>MATCH(J235,J:J,0)</f>
        <v>38</v>
      </c>
      <c r="J235" s="14" t="s">
        <v>246</v>
      </c>
      <c r="M235">
        <f>IF(Tabela1[[#This Row],[Qtd Filhos]]&gt;=8,1,0)</f>
        <v>0</v>
      </c>
      <c r="N235">
        <f>IF(Tabela1[[#This Row],[Idade]]&gt;50,1,0)</f>
        <v>0</v>
      </c>
      <c r="O235">
        <f>YEAR(Tabela1[[#This Row],[Data Nasc.]])</f>
        <v>1977</v>
      </c>
    </row>
    <row r="236" spans="9:15" x14ac:dyDescent="0.25">
      <c r="I236" s="14">
        <f>MATCH(J236,J:J,0)</f>
        <v>24</v>
      </c>
      <c r="J236" s="14" t="s">
        <v>225</v>
      </c>
      <c r="M236">
        <f>IF(Tabela1[[#This Row],[Qtd Filhos]]&gt;=8,1,0)</f>
        <v>0</v>
      </c>
      <c r="N236">
        <f>IF(Tabela1[[#This Row],[Idade]]&gt;50,1,0)</f>
        <v>1</v>
      </c>
      <c r="O236">
        <f>YEAR(Tabela1[[#This Row],[Data Nasc.]])</f>
        <v>1971</v>
      </c>
    </row>
    <row r="237" spans="9:15" x14ac:dyDescent="0.25">
      <c r="I237" s="14">
        <f>MATCH(J237,J:J,0)</f>
        <v>8</v>
      </c>
      <c r="J237" s="14" t="s">
        <v>192</v>
      </c>
      <c r="M237">
        <f>IF(Tabela1[[#This Row],[Qtd Filhos]]&gt;=8,1,0)</f>
        <v>0</v>
      </c>
      <c r="N237">
        <f>IF(Tabela1[[#This Row],[Idade]]&gt;50,1,0)</f>
        <v>0</v>
      </c>
      <c r="O237">
        <f>YEAR(Tabela1[[#This Row],[Data Nasc.]])</f>
        <v>1989</v>
      </c>
    </row>
    <row r="238" spans="9:15" x14ac:dyDescent="0.25">
      <c r="I238" s="14">
        <f>MATCH(J238,J:J,0)</f>
        <v>238</v>
      </c>
      <c r="J238" s="14" t="s">
        <v>93</v>
      </c>
      <c r="M238">
        <f>IF(Tabela1[[#This Row],[Qtd Filhos]]&gt;=8,1,0)</f>
        <v>0</v>
      </c>
      <c r="N238">
        <f>IF(Tabela1[[#This Row],[Idade]]&gt;50,1,0)</f>
        <v>1</v>
      </c>
      <c r="O238">
        <f>YEAR(Tabela1[[#This Row],[Data Nasc.]])</f>
        <v>1965</v>
      </c>
    </row>
    <row r="239" spans="9:15" x14ac:dyDescent="0.25">
      <c r="I239" s="14">
        <f>MATCH(J239,J:J,0)</f>
        <v>239</v>
      </c>
      <c r="J239" s="14" t="s">
        <v>203</v>
      </c>
      <c r="M239">
        <f>IF(Tabela1[[#This Row],[Qtd Filhos]]&gt;=8,1,0)</f>
        <v>0</v>
      </c>
      <c r="N239">
        <f>IF(Tabela1[[#This Row],[Idade]]&gt;50,1,0)</f>
        <v>1</v>
      </c>
      <c r="O239">
        <f>YEAR(Tabela1[[#This Row],[Data Nasc.]])</f>
        <v>1969</v>
      </c>
    </row>
    <row r="240" spans="9:15" x14ac:dyDescent="0.25">
      <c r="I240" s="14">
        <f>MATCH(J240,J:J,0)</f>
        <v>129</v>
      </c>
      <c r="J240" s="14" t="s">
        <v>156</v>
      </c>
      <c r="M240">
        <f>IF(Tabela1[[#This Row],[Qtd Filhos]]&gt;=8,1,0)</f>
        <v>0</v>
      </c>
      <c r="N240">
        <f>IF(Tabela1[[#This Row],[Idade]]&gt;50,1,0)</f>
        <v>0</v>
      </c>
      <c r="O240">
        <f>YEAR(Tabela1[[#This Row],[Data Nasc.]])</f>
        <v>2000</v>
      </c>
    </row>
    <row r="241" spans="9:15" x14ac:dyDescent="0.25">
      <c r="I241" s="14">
        <f>MATCH(J241,J:J,0)</f>
        <v>241</v>
      </c>
      <c r="J241" s="14" t="s">
        <v>121</v>
      </c>
      <c r="M241">
        <f>IF(Tabela1[[#This Row],[Qtd Filhos]]&gt;=8,1,0)</f>
        <v>0</v>
      </c>
      <c r="N241">
        <f>IF(Tabela1[[#This Row],[Idade]]&gt;50,1,0)</f>
        <v>1</v>
      </c>
      <c r="O241">
        <f>YEAR(Tabela1[[#This Row],[Data Nasc.]])</f>
        <v>1962</v>
      </c>
    </row>
    <row r="242" spans="9:15" x14ac:dyDescent="0.25">
      <c r="I242" s="14">
        <f>MATCH(J242,J:J,0)</f>
        <v>29</v>
      </c>
      <c r="J242" s="14" t="s">
        <v>209</v>
      </c>
      <c r="M242">
        <f>IF(Tabela1[[#This Row],[Qtd Filhos]]&gt;=8,1,0)</f>
        <v>0</v>
      </c>
      <c r="N242">
        <f>IF(Tabela1[[#This Row],[Idade]]&gt;50,1,0)</f>
        <v>0</v>
      </c>
      <c r="O242">
        <f>YEAR(Tabela1[[#This Row],[Data Nasc.]])</f>
        <v>1981</v>
      </c>
    </row>
    <row r="243" spans="9:15" x14ac:dyDescent="0.25">
      <c r="I243" s="14">
        <f>MATCH(J243,J:J,0)</f>
        <v>100</v>
      </c>
      <c r="J243" s="14" t="s">
        <v>238</v>
      </c>
      <c r="M243">
        <f>IF(Tabela1[[#This Row],[Qtd Filhos]]&gt;=8,1,0)</f>
        <v>0</v>
      </c>
      <c r="N243">
        <f>IF(Tabela1[[#This Row],[Idade]]&gt;50,1,0)</f>
        <v>1</v>
      </c>
      <c r="O243">
        <f>YEAR(Tabela1[[#This Row],[Data Nasc.]])</f>
        <v>1964</v>
      </c>
    </row>
    <row r="244" spans="9:15" x14ac:dyDescent="0.25">
      <c r="I244" s="14">
        <f>MATCH(J244,J:J,0)</f>
        <v>32</v>
      </c>
      <c r="J244" s="14" t="s">
        <v>164</v>
      </c>
      <c r="M244">
        <f>IF(Tabela1[[#This Row],[Qtd Filhos]]&gt;=8,1,0)</f>
        <v>0</v>
      </c>
      <c r="N244">
        <f>IF(Tabela1[[#This Row],[Idade]]&gt;50,1,0)</f>
        <v>0</v>
      </c>
      <c r="O244">
        <f>YEAR(Tabela1[[#This Row],[Data Nasc.]])</f>
        <v>2006</v>
      </c>
    </row>
    <row r="245" spans="9:15" x14ac:dyDescent="0.25">
      <c r="I245" s="14">
        <f>MATCH(J245,J:J,0)</f>
        <v>168</v>
      </c>
      <c r="J245" s="14" t="s">
        <v>61</v>
      </c>
      <c r="M245">
        <f>IF(Tabela1[[#This Row],[Qtd Filhos]]&gt;=8,1,0)</f>
        <v>0</v>
      </c>
      <c r="N245">
        <f>IF(Tabela1[[#This Row],[Idade]]&gt;50,1,0)</f>
        <v>0</v>
      </c>
      <c r="O245">
        <f>YEAR(Tabela1[[#This Row],[Data Nasc.]])</f>
        <v>1980</v>
      </c>
    </row>
    <row r="246" spans="9:15" x14ac:dyDescent="0.25">
      <c r="I246" s="14">
        <f>MATCH(J246,J:J,0)</f>
        <v>72</v>
      </c>
      <c r="J246" s="14" t="s">
        <v>179</v>
      </c>
      <c r="M246">
        <f>IF(Tabela1[[#This Row],[Qtd Filhos]]&gt;=8,1,0)</f>
        <v>0</v>
      </c>
      <c r="N246">
        <f>IF(Tabela1[[#This Row],[Idade]]&gt;50,1,0)</f>
        <v>0</v>
      </c>
      <c r="O246">
        <f>YEAR(Tabela1[[#This Row],[Data Nasc.]])</f>
        <v>2008</v>
      </c>
    </row>
    <row r="247" spans="9:15" x14ac:dyDescent="0.25">
      <c r="I247" s="14">
        <f>MATCH(J247,J:J,0)</f>
        <v>15</v>
      </c>
      <c r="J247" s="14" t="s">
        <v>31</v>
      </c>
      <c r="M247">
        <f>IF(Tabela1[[#This Row],[Qtd Filhos]]&gt;=8,1,0)</f>
        <v>0</v>
      </c>
      <c r="N247">
        <f>IF(Tabela1[[#This Row],[Idade]]&gt;50,1,0)</f>
        <v>0</v>
      </c>
      <c r="O247">
        <f>YEAR(Tabela1[[#This Row],[Data Nasc.]])</f>
        <v>1989</v>
      </c>
    </row>
    <row r="248" spans="9:15" x14ac:dyDescent="0.25">
      <c r="I248" s="14">
        <f>MATCH(J248,J:J,0)</f>
        <v>23</v>
      </c>
      <c r="J248" s="14" t="s">
        <v>283</v>
      </c>
      <c r="M248">
        <f>IF(Tabela1[[#This Row],[Qtd Filhos]]&gt;=8,1,0)</f>
        <v>0</v>
      </c>
      <c r="N248">
        <f>IF(Tabela1[[#This Row],[Idade]]&gt;50,1,0)</f>
        <v>0</v>
      </c>
      <c r="O248">
        <f>YEAR(Tabela1[[#This Row],[Data Nasc.]])</f>
        <v>1996</v>
      </c>
    </row>
    <row r="249" spans="9:15" x14ac:dyDescent="0.25">
      <c r="I249" s="14">
        <f>MATCH(J249,J:J,0)</f>
        <v>55</v>
      </c>
      <c r="J249" s="14" t="s">
        <v>197</v>
      </c>
      <c r="M249">
        <f>IF(Tabela1[[#This Row],[Qtd Filhos]]&gt;=8,1,0)</f>
        <v>0</v>
      </c>
      <c r="N249">
        <f>IF(Tabela1[[#This Row],[Idade]]&gt;50,1,0)</f>
        <v>0</v>
      </c>
      <c r="O249">
        <f>YEAR(Tabela1[[#This Row],[Data Nasc.]])</f>
        <v>1992</v>
      </c>
    </row>
    <row r="250" spans="9:15" x14ac:dyDescent="0.25">
      <c r="I250" s="14">
        <f>MATCH(J250,J:J,0)</f>
        <v>32</v>
      </c>
      <c r="J250" s="14" t="s">
        <v>164</v>
      </c>
      <c r="M250">
        <f>IF(Tabela1[[#This Row],[Qtd Filhos]]&gt;=8,1,0)</f>
        <v>0</v>
      </c>
      <c r="N250">
        <f>IF(Tabela1[[#This Row],[Idade]]&gt;50,1,0)</f>
        <v>1</v>
      </c>
      <c r="O250">
        <f>YEAR(Tabela1[[#This Row],[Data Nasc.]])</f>
        <v>1961</v>
      </c>
    </row>
    <row r="251" spans="9:15" x14ac:dyDescent="0.25">
      <c r="I251" s="14">
        <f>MATCH(J251,J:J,0)</f>
        <v>143</v>
      </c>
      <c r="J251" s="14" t="s">
        <v>233</v>
      </c>
      <c r="M251">
        <f>IF(Tabela1[[#This Row],[Qtd Filhos]]&gt;=8,1,0)</f>
        <v>0</v>
      </c>
      <c r="N251">
        <f>IF(Tabela1[[#This Row],[Idade]]&gt;50,1,0)</f>
        <v>0</v>
      </c>
      <c r="O251">
        <f>YEAR(Tabela1[[#This Row],[Data Nasc.]])</f>
        <v>2007</v>
      </c>
    </row>
    <row r="252" spans="9:15" x14ac:dyDescent="0.25">
      <c r="I252" s="14">
        <f>MATCH(J252,J:J,0)</f>
        <v>143</v>
      </c>
      <c r="J252" s="14" t="s">
        <v>233</v>
      </c>
      <c r="M252">
        <f>IF(Tabela1[[#This Row],[Qtd Filhos]]&gt;=8,1,0)</f>
        <v>0</v>
      </c>
      <c r="N252">
        <f>IF(Tabela1[[#This Row],[Idade]]&gt;50,1,0)</f>
        <v>1</v>
      </c>
      <c r="O252">
        <f>YEAR(Tabela1[[#This Row],[Data Nasc.]])</f>
        <v>1971</v>
      </c>
    </row>
    <row r="253" spans="9:15" x14ac:dyDescent="0.25">
      <c r="I253" s="14">
        <f>MATCH(J253,J:J,0)</f>
        <v>134</v>
      </c>
      <c r="J253" s="14" t="s">
        <v>141</v>
      </c>
      <c r="M253">
        <f>IF(Tabela1[[#This Row],[Qtd Filhos]]&gt;=8,1,0)</f>
        <v>0</v>
      </c>
      <c r="N253">
        <f>IF(Tabela1[[#This Row],[Idade]]&gt;50,1,0)</f>
        <v>0</v>
      </c>
      <c r="O253">
        <f>YEAR(Tabela1[[#This Row],[Data Nasc.]])</f>
        <v>1999</v>
      </c>
    </row>
    <row r="254" spans="9:15" x14ac:dyDescent="0.25">
      <c r="I254" s="14">
        <f>MATCH(J254,J:J,0)</f>
        <v>58</v>
      </c>
      <c r="J254" s="14" t="s">
        <v>116</v>
      </c>
      <c r="M254">
        <f>IF(Tabela1[[#This Row],[Qtd Filhos]]&gt;=8,1,0)</f>
        <v>0</v>
      </c>
      <c r="N254">
        <f>IF(Tabela1[[#This Row],[Idade]]&gt;50,1,0)</f>
        <v>0</v>
      </c>
      <c r="O254">
        <f>YEAR(Tabela1[[#This Row],[Data Nasc.]])</f>
        <v>1988</v>
      </c>
    </row>
    <row r="255" spans="9:15" x14ac:dyDescent="0.25">
      <c r="I255" s="14">
        <f>MATCH(J255,J:J,0)</f>
        <v>5</v>
      </c>
      <c r="J255" s="14" t="s">
        <v>171</v>
      </c>
      <c r="M255">
        <f>IF(Tabela1[[#This Row],[Qtd Filhos]]&gt;=8,1,0)</f>
        <v>0</v>
      </c>
      <c r="N255">
        <f>IF(Tabela1[[#This Row],[Idade]]&gt;50,1,0)</f>
        <v>1</v>
      </c>
      <c r="O255">
        <f>YEAR(Tabela1[[#This Row],[Data Nasc.]])</f>
        <v>1962</v>
      </c>
    </row>
    <row r="256" spans="9:15" x14ac:dyDescent="0.25">
      <c r="I256" s="14">
        <f>MATCH(J256,J:J,0)</f>
        <v>256</v>
      </c>
      <c r="J256" s="14" t="s">
        <v>188</v>
      </c>
      <c r="M256">
        <f>IF(Tabela1[[#This Row],[Qtd Filhos]]&gt;=8,1,0)</f>
        <v>0</v>
      </c>
      <c r="N256">
        <f>IF(Tabela1[[#This Row],[Idade]]&gt;50,1,0)</f>
        <v>0</v>
      </c>
      <c r="O256">
        <f>YEAR(Tabela1[[#This Row],[Data Nasc.]])</f>
        <v>1977</v>
      </c>
    </row>
    <row r="257" spans="9:15" x14ac:dyDescent="0.25">
      <c r="I257" s="14">
        <f>MATCH(J257,J:J,0)</f>
        <v>134</v>
      </c>
      <c r="J257" s="14" t="s">
        <v>141</v>
      </c>
      <c r="M257">
        <f>IF(Tabela1[[#This Row],[Qtd Filhos]]&gt;=8,1,0)</f>
        <v>0</v>
      </c>
      <c r="N257">
        <f>IF(Tabela1[[#This Row],[Idade]]&gt;50,1,0)</f>
        <v>0</v>
      </c>
      <c r="O257">
        <f>YEAR(Tabela1[[#This Row],[Data Nasc.]])</f>
        <v>2005</v>
      </c>
    </row>
    <row r="258" spans="9:15" x14ac:dyDescent="0.25">
      <c r="I258" s="14">
        <f>MATCH(J258,J:J,0)</f>
        <v>85</v>
      </c>
      <c r="J258" s="14" t="s">
        <v>101</v>
      </c>
      <c r="M258">
        <f>IF(Tabela1[[#This Row],[Qtd Filhos]]&gt;=8,1,0)</f>
        <v>0</v>
      </c>
      <c r="N258">
        <f>IF(Tabela1[[#This Row],[Idade]]&gt;50,1,0)</f>
        <v>0</v>
      </c>
      <c r="O258">
        <f>YEAR(Tabela1[[#This Row],[Data Nasc.]])</f>
        <v>1979</v>
      </c>
    </row>
    <row r="259" spans="9:15" x14ac:dyDescent="0.25">
      <c r="I259" s="14">
        <f>MATCH(J259,J:J,0)</f>
        <v>9</v>
      </c>
      <c r="J259" s="14" t="s">
        <v>229</v>
      </c>
      <c r="M259">
        <f>IF(Tabela1[[#This Row],[Qtd Filhos]]&gt;=8,1,0)</f>
        <v>0</v>
      </c>
      <c r="N259">
        <f>IF(Tabela1[[#This Row],[Idade]]&gt;50,1,0)</f>
        <v>0</v>
      </c>
      <c r="O259">
        <f>YEAR(Tabela1[[#This Row],[Data Nasc.]])</f>
        <v>2006</v>
      </c>
    </row>
    <row r="260" spans="9:15" x14ac:dyDescent="0.25">
      <c r="I260" s="14">
        <f>MATCH(J260,J:J,0)</f>
        <v>260</v>
      </c>
      <c r="J260" s="14" t="s">
        <v>182</v>
      </c>
      <c r="M260">
        <f>IF(Tabela1[[#This Row],[Qtd Filhos]]&gt;=8,1,0)</f>
        <v>0</v>
      </c>
      <c r="N260">
        <f>IF(Tabela1[[#This Row],[Idade]]&gt;50,1,0)</f>
        <v>0</v>
      </c>
      <c r="O260">
        <f>YEAR(Tabela1[[#This Row],[Data Nasc.]])</f>
        <v>1995</v>
      </c>
    </row>
    <row r="261" spans="9:15" x14ac:dyDescent="0.25">
      <c r="I261" s="14">
        <f>MATCH(J261,J:J,0)</f>
        <v>63</v>
      </c>
      <c r="J261" s="14" t="s">
        <v>279</v>
      </c>
      <c r="M261">
        <f>IF(Tabela1[[#This Row],[Qtd Filhos]]&gt;=8,1,0)</f>
        <v>0</v>
      </c>
      <c r="N261">
        <f>IF(Tabela1[[#This Row],[Idade]]&gt;50,1,0)</f>
        <v>1</v>
      </c>
      <c r="O261">
        <f>YEAR(Tabela1[[#This Row],[Data Nasc.]])</f>
        <v>1965</v>
      </c>
    </row>
    <row r="262" spans="9:15" x14ac:dyDescent="0.25">
      <c r="I262" s="14">
        <f>MATCH(J262,J:J,0)</f>
        <v>58</v>
      </c>
      <c r="J262" s="14" t="s">
        <v>116</v>
      </c>
      <c r="M262">
        <f>IF(Tabela1[[#This Row],[Qtd Filhos]]&gt;=8,1,0)</f>
        <v>0</v>
      </c>
      <c r="N262">
        <f>IF(Tabela1[[#This Row],[Idade]]&gt;50,1,0)</f>
        <v>0</v>
      </c>
      <c r="O262">
        <f>YEAR(Tabela1[[#This Row],[Data Nasc.]])</f>
        <v>1994</v>
      </c>
    </row>
    <row r="263" spans="9:15" x14ac:dyDescent="0.25">
      <c r="I263" s="14">
        <f>MATCH(J263,J:J,0)</f>
        <v>3</v>
      </c>
      <c r="J263" s="14" t="s">
        <v>103</v>
      </c>
      <c r="M263">
        <f>IF(Tabela1[[#This Row],[Qtd Filhos]]&gt;=8,1,0)</f>
        <v>0</v>
      </c>
      <c r="N263">
        <f>IF(Tabela1[[#This Row],[Idade]]&gt;50,1,0)</f>
        <v>0</v>
      </c>
      <c r="O263">
        <f>YEAR(Tabela1[[#This Row],[Data Nasc.]])</f>
        <v>2007</v>
      </c>
    </row>
    <row r="264" spans="9:15" x14ac:dyDescent="0.25">
      <c r="I264" s="14">
        <f>MATCH(J264,J:J,0)</f>
        <v>83</v>
      </c>
      <c r="J264" s="14" t="s">
        <v>175</v>
      </c>
      <c r="M264">
        <f>IF(Tabela1[[#This Row],[Qtd Filhos]]&gt;=8,1,0)</f>
        <v>1</v>
      </c>
      <c r="N264">
        <f>IF(Tabela1[[#This Row],[Idade]]&gt;50,1,0)</f>
        <v>1</v>
      </c>
      <c r="O264">
        <f>YEAR(Tabela1[[#This Row],[Data Nasc.]])</f>
        <v>1964</v>
      </c>
    </row>
    <row r="265" spans="9:15" x14ac:dyDescent="0.25">
      <c r="I265" s="14">
        <f>MATCH(J265,J:J,0)</f>
        <v>175</v>
      </c>
      <c r="J265" s="14" t="s">
        <v>145</v>
      </c>
      <c r="M265">
        <f>IF(Tabela1[[#This Row],[Qtd Filhos]]&gt;=8,1,0)</f>
        <v>0</v>
      </c>
      <c r="N265">
        <f>IF(Tabela1[[#This Row],[Idade]]&gt;50,1,0)</f>
        <v>0</v>
      </c>
      <c r="O265">
        <f>YEAR(Tabela1[[#This Row],[Data Nasc.]])</f>
        <v>1997</v>
      </c>
    </row>
    <row r="266" spans="9:15" x14ac:dyDescent="0.25">
      <c r="I266" s="14">
        <f>MATCH(J266,J:J,0)</f>
        <v>23</v>
      </c>
      <c r="J266" s="14" t="s">
        <v>283</v>
      </c>
      <c r="M266">
        <f>IF(Tabela1[[#This Row],[Qtd Filhos]]&gt;=8,1,0)</f>
        <v>0</v>
      </c>
      <c r="N266">
        <f>IF(Tabela1[[#This Row],[Idade]]&gt;50,1,0)</f>
        <v>0</v>
      </c>
      <c r="O266">
        <f>YEAR(Tabela1[[#This Row],[Data Nasc.]])</f>
        <v>1979</v>
      </c>
    </row>
    <row r="267" spans="9:15" x14ac:dyDescent="0.25">
      <c r="I267" s="14">
        <f>MATCH(J267,J:J,0)</f>
        <v>98</v>
      </c>
      <c r="J267" s="14" t="s">
        <v>130</v>
      </c>
      <c r="M267">
        <f>IF(Tabela1[[#This Row],[Qtd Filhos]]&gt;=8,1,0)</f>
        <v>0</v>
      </c>
      <c r="N267">
        <f>IF(Tabela1[[#This Row],[Idade]]&gt;50,1,0)</f>
        <v>0</v>
      </c>
      <c r="O267">
        <f>YEAR(Tabela1[[#This Row],[Data Nasc.]])</f>
        <v>1984</v>
      </c>
    </row>
    <row r="268" spans="9:15" x14ac:dyDescent="0.25">
      <c r="I268" s="14">
        <f>MATCH(J268,J:J,0)</f>
        <v>241</v>
      </c>
      <c r="J268" s="14" t="s">
        <v>121</v>
      </c>
      <c r="M268">
        <f>IF(Tabela1[[#This Row],[Qtd Filhos]]&gt;=8,1,0)</f>
        <v>0</v>
      </c>
      <c r="N268">
        <f>IF(Tabela1[[#This Row],[Idade]]&gt;50,1,0)</f>
        <v>0</v>
      </c>
      <c r="O268">
        <f>YEAR(Tabela1[[#This Row],[Data Nasc.]])</f>
        <v>1977</v>
      </c>
    </row>
    <row r="269" spans="9:15" x14ac:dyDescent="0.25">
      <c r="I269" s="14">
        <f>MATCH(J269,J:J,0)</f>
        <v>129</v>
      </c>
      <c r="J269" s="14" t="s">
        <v>156</v>
      </c>
      <c r="M269">
        <f>IF(Tabela1[[#This Row],[Qtd Filhos]]&gt;=8,1,0)</f>
        <v>0</v>
      </c>
      <c r="N269">
        <f>IF(Tabela1[[#This Row],[Idade]]&gt;50,1,0)</f>
        <v>0</v>
      </c>
      <c r="O269">
        <f>YEAR(Tabela1[[#This Row],[Data Nasc.]])</f>
        <v>2005</v>
      </c>
    </row>
    <row r="270" spans="9:15" x14ac:dyDescent="0.25">
      <c r="I270" s="14">
        <f>MATCH(J270,J:J,0)</f>
        <v>50</v>
      </c>
      <c r="J270" s="14" t="s">
        <v>37</v>
      </c>
      <c r="M270">
        <f>IF(Tabela1[[#This Row],[Qtd Filhos]]&gt;=8,1,0)</f>
        <v>0</v>
      </c>
      <c r="N270">
        <f>IF(Tabela1[[#This Row],[Idade]]&gt;50,1,0)</f>
        <v>0</v>
      </c>
      <c r="O270">
        <f>YEAR(Tabela1[[#This Row],[Data Nasc.]])</f>
        <v>1979</v>
      </c>
    </row>
    <row r="271" spans="9:15" x14ac:dyDescent="0.25">
      <c r="I271" s="14">
        <f>MATCH(J271,J:J,0)</f>
        <v>18</v>
      </c>
      <c r="J271" s="14" t="s">
        <v>42</v>
      </c>
      <c r="M271">
        <f>IF(Tabela1[[#This Row],[Qtd Filhos]]&gt;=8,1,0)</f>
        <v>0</v>
      </c>
      <c r="N271">
        <f>IF(Tabela1[[#This Row],[Idade]]&gt;50,1,0)</f>
        <v>0</v>
      </c>
      <c r="O271">
        <f>YEAR(Tabela1[[#This Row],[Data Nasc.]])</f>
        <v>2007</v>
      </c>
    </row>
    <row r="272" spans="9:15" x14ac:dyDescent="0.25">
      <c r="I272" s="14">
        <f>MATCH(J272,J:J,0)</f>
        <v>230</v>
      </c>
      <c r="J272" s="14" t="s">
        <v>216</v>
      </c>
      <c r="M272">
        <f>IF(Tabela1[[#This Row],[Qtd Filhos]]&gt;=8,1,0)</f>
        <v>0</v>
      </c>
      <c r="N272">
        <f>IF(Tabela1[[#This Row],[Idade]]&gt;50,1,0)</f>
        <v>0</v>
      </c>
      <c r="O272">
        <f>YEAR(Tabela1[[#This Row],[Data Nasc.]])</f>
        <v>1977</v>
      </c>
    </row>
    <row r="273" spans="9:15" x14ac:dyDescent="0.25">
      <c r="I273" s="14">
        <f>MATCH(J273,J:J,0)</f>
        <v>72</v>
      </c>
      <c r="J273" s="14" t="s">
        <v>179</v>
      </c>
      <c r="M273">
        <f>IF(Tabela1[[#This Row],[Qtd Filhos]]&gt;=8,1,0)</f>
        <v>0</v>
      </c>
      <c r="N273">
        <f>IF(Tabela1[[#This Row],[Idade]]&gt;50,1,0)</f>
        <v>0</v>
      </c>
      <c r="O273">
        <f>YEAR(Tabela1[[#This Row],[Data Nasc.]])</f>
        <v>1981</v>
      </c>
    </row>
    <row r="274" spans="9:15" x14ac:dyDescent="0.25">
      <c r="I274" s="14">
        <f>MATCH(J274,J:J,0)</f>
        <v>18</v>
      </c>
      <c r="J274" s="14" t="s">
        <v>42</v>
      </c>
      <c r="M274">
        <f>IF(Tabela1[[#This Row],[Qtd Filhos]]&gt;=8,1,0)</f>
        <v>0</v>
      </c>
      <c r="N274">
        <f>IF(Tabela1[[#This Row],[Idade]]&gt;50,1,0)</f>
        <v>0</v>
      </c>
      <c r="O274">
        <f>YEAR(Tabela1[[#This Row],[Data Nasc.]])</f>
        <v>1989</v>
      </c>
    </row>
    <row r="275" spans="9:15" x14ac:dyDescent="0.25">
      <c r="I275" s="14">
        <f>MATCH(J275,J:J,0)</f>
        <v>9</v>
      </c>
      <c r="J275" s="14" t="s">
        <v>229</v>
      </c>
      <c r="M275">
        <f>IF(Tabela1[[#This Row],[Qtd Filhos]]&gt;=8,1,0)</f>
        <v>0</v>
      </c>
      <c r="N275">
        <f>IF(Tabela1[[#This Row],[Idade]]&gt;50,1,0)</f>
        <v>0</v>
      </c>
      <c r="O275">
        <f>YEAR(Tabela1[[#This Row],[Data Nasc.]])</f>
        <v>1984</v>
      </c>
    </row>
    <row r="276" spans="9:15" x14ac:dyDescent="0.25">
      <c r="I276" s="14">
        <f>MATCH(J276,J:J,0)</f>
        <v>168</v>
      </c>
      <c r="J276" s="14" t="s">
        <v>61</v>
      </c>
      <c r="M276">
        <f>IF(Tabela1[[#This Row],[Qtd Filhos]]&gt;=8,1,0)</f>
        <v>0</v>
      </c>
      <c r="N276">
        <f>IF(Tabela1[[#This Row],[Idade]]&gt;50,1,0)</f>
        <v>0</v>
      </c>
      <c r="O276">
        <f>YEAR(Tabela1[[#This Row],[Data Nasc.]])</f>
        <v>1993</v>
      </c>
    </row>
    <row r="277" spans="9:15" x14ac:dyDescent="0.25">
      <c r="I277" s="14">
        <f>MATCH(J277,J:J,0)</f>
        <v>34</v>
      </c>
      <c r="J277" s="14" t="s">
        <v>235</v>
      </c>
      <c r="M277">
        <f>IF(Tabela1[[#This Row],[Qtd Filhos]]&gt;=8,1,0)</f>
        <v>0</v>
      </c>
      <c r="N277">
        <f>IF(Tabela1[[#This Row],[Idade]]&gt;50,1,0)</f>
        <v>1</v>
      </c>
      <c r="O277">
        <f>YEAR(Tabela1[[#This Row],[Data Nasc.]])</f>
        <v>1975</v>
      </c>
    </row>
    <row r="278" spans="9:15" x14ac:dyDescent="0.25">
      <c r="I278" s="14">
        <f>MATCH(J278,J:J,0)</f>
        <v>278</v>
      </c>
      <c r="J278" s="14" t="s">
        <v>267</v>
      </c>
      <c r="M278">
        <f>IF(Tabela1[[#This Row],[Qtd Filhos]]&gt;=8,1,0)</f>
        <v>0</v>
      </c>
      <c r="N278">
        <f>IF(Tabela1[[#This Row],[Idade]]&gt;50,1,0)</f>
        <v>0</v>
      </c>
      <c r="O278">
        <f>YEAR(Tabela1[[#This Row],[Data Nasc.]])</f>
        <v>1982</v>
      </c>
    </row>
    <row r="279" spans="9:15" x14ac:dyDescent="0.25">
      <c r="I279" s="14">
        <f>MATCH(J279,J:J,0)</f>
        <v>31</v>
      </c>
      <c r="J279" s="14" t="s">
        <v>240</v>
      </c>
      <c r="M279">
        <f>IF(Tabela1[[#This Row],[Qtd Filhos]]&gt;=8,1,0)</f>
        <v>0</v>
      </c>
      <c r="N279">
        <f>IF(Tabela1[[#This Row],[Idade]]&gt;50,1,0)</f>
        <v>0</v>
      </c>
      <c r="O279">
        <f>YEAR(Tabela1[[#This Row],[Data Nasc.]])</f>
        <v>2001</v>
      </c>
    </row>
    <row r="280" spans="9:15" x14ac:dyDescent="0.25">
      <c r="I280" s="14">
        <f>MATCH(J280,J:J,0)</f>
        <v>62</v>
      </c>
      <c r="J280" s="14" t="s">
        <v>261</v>
      </c>
      <c r="M280">
        <f>IF(Tabela1[[#This Row],[Qtd Filhos]]&gt;=8,1,0)</f>
        <v>0</v>
      </c>
      <c r="N280">
        <f>IF(Tabela1[[#This Row],[Idade]]&gt;50,1,0)</f>
        <v>0</v>
      </c>
      <c r="O280">
        <f>YEAR(Tabela1[[#This Row],[Data Nasc.]])</f>
        <v>1997</v>
      </c>
    </row>
    <row r="281" spans="9:15" x14ac:dyDescent="0.25">
      <c r="I281" s="14">
        <f>MATCH(J281,J:J,0)</f>
        <v>45</v>
      </c>
      <c r="J281" s="14" t="s">
        <v>149</v>
      </c>
      <c r="M281">
        <f>IF(Tabela1[[#This Row],[Qtd Filhos]]&gt;=8,1,0)</f>
        <v>1</v>
      </c>
      <c r="N281">
        <f>IF(Tabela1[[#This Row],[Idade]]&gt;50,1,0)</f>
        <v>1</v>
      </c>
      <c r="O281">
        <f>YEAR(Tabela1[[#This Row],[Data Nasc.]])</f>
        <v>1964</v>
      </c>
    </row>
    <row r="282" spans="9:15" x14ac:dyDescent="0.25">
      <c r="I282" s="14">
        <f>MATCH(J282,J:J,0)</f>
        <v>28</v>
      </c>
      <c r="J282" s="14" t="s">
        <v>211</v>
      </c>
      <c r="M282">
        <f>IF(Tabela1[[#This Row],[Qtd Filhos]]&gt;=8,1,0)</f>
        <v>0</v>
      </c>
      <c r="N282">
        <f>IF(Tabela1[[#This Row],[Idade]]&gt;50,1,0)</f>
        <v>0</v>
      </c>
      <c r="O282">
        <f>YEAR(Tabela1[[#This Row],[Data Nasc.]])</f>
        <v>1992</v>
      </c>
    </row>
    <row r="283" spans="9:15" x14ac:dyDescent="0.25">
      <c r="I283" s="14">
        <f>MATCH(J283,J:J,0)</f>
        <v>18</v>
      </c>
      <c r="J283" s="14" t="s">
        <v>42</v>
      </c>
      <c r="M283">
        <f>IF(Tabela1[[#This Row],[Qtd Filhos]]&gt;=8,1,0)</f>
        <v>0</v>
      </c>
      <c r="N283">
        <f>IF(Tabela1[[#This Row],[Idade]]&gt;50,1,0)</f>
        <v>0</v>
      </c>
      <c r="O283">
        <f>YEAR(Tabela1[[#This Row],[Data Nasc.]])</f>
        <v>1979</v>
      </c>
    </row>
    <row r="284" spans="9:15" x14ac:dyDescent="0.25">
      <c r="I284" s="14">
        <f>MATCH(J284,J:J,0)</f>
        <v>21</v>
      </c>
      <c r="J284" s="14" t="s">
        <v>244</v>
      </c>
      <c r="M284">
        <f>IF(Tabela1[[#This Row],[Qtd Filhos]]&gt;=8,1,0)</f>
        <v>0</v>
      </c>
      <c r="N284">
        <f>IF(Tabela1[[#This Row],[Idade]]&gt;50,1,0)</f>
        <v>1</v>
      </c>
      <c r="O284">
        <f>YEAR(Tabela1[[#This Row],[Data Nasc.]])</f>
        <v>1975</v>
      </c>
    </row>
    <row r="285" spans="9:15" x14ac:dyDescent="0.25">
      <c r="I285" s="14">
        <f>MATCH(J285,J:J,0)</f>
        <v>54</v>
      </c>
      <c r="J285" s="14" t="s">
        <v>125</v>
      </c>
      <c r="M285">
        <f>IF(Tabela1[[#This Row],[Qtd Filhos]]&gt;=8,1,0)</f>
        <v>0</v>
      </c>
      <c r="N285">
        <f>IF(Tabela1[[#This Row],[Idade]]&gt;50,1,0)</f>
        <v>0</v>
      </c>
      <c r="O285">
        <f>YEAR(Tabela1[[#This Row],[Data Nasc.]])</f>
        <v>2008</v>
      </c>
    </row>
    <row r="286" spans="9:15" x14ac:dyDescent="0.25">
      <c r="I286" s="14">
        <f>MATCH(J286,J:J,0)</f>
        <v>23</v>
      </c>
      <c r="J286" s="14" t="s">
        <v>283</v>
      </c>
      <c r="M286">
        <f>IF(Tabela1[[#This Row],[Qtd Filhos]]&gt;=8,1,0)</f>
        <v>0</v>
      </c>
      <c r="N286">
        <f>IF(Tabela1[[#This Row],[Idade]]&gt;50,1,0)</f>
        <v>1</v>
      </c>
      <c r="O286">
        <f>YEAR(Tabela1[[#This Row],[Data Nasc.]])</f>
        <v>1973</v>
      </c>
    </row>
    <row r="287" spans="9:15" x14ac:dyDescent="0.25">
      <c r="I287" s="14">
        <f>MATCH(J287,J:J,0)</f>
        <v>202</v>
      </c>
      <c r="J287" s="14" t="s">
        <v>218</v>
      </c>
      <c r="M287">
        <f>IF(Tabela1[[#This Row],[Qtd Filhos]]&gt;=8,1,0)</f>
        <v>0</v>
      </c>
      <c r="N287">
        <f>IF(Tabela1[[#This Row],[Idade]]&gt;50,1,0)</f>
        <v>0</v>
      </c>
      <c r="O287">
        <f>YEAR(Tabela1[[#This Row],[Data Nasc.]])</f>
        <v>1980</v>
      </c>
    </row>
    <row r="288" spans="9:15" x14ac:dyDescent="0.25">
      <c r="I288" s="14">
        <f>MATCH(J288,J:J,0)</f>
        <v>288</v>
      </c>
      <c r="J288" s="14" t="s">
        <v>109</v>
      </c>
      <c r="M288">
        <f>IF(Tabela1[[#This Row],[Qtd Filhos]]&gt;=8,1,0)</f>
        <v>0</v>
      </c>
      <c r="N288">
        <f>IF(Tabela1[[#This Row],[Idade]]&gt;50,1,0)</f>
        <v>0</v>
      </c>
      <c r="O288">
        <f>YEAR(Tabela1[[#This Row],[Data Nasc.]])</f>
        <v>1984</v>
      </c>
    </row>
    <row r="289" spans="9:15" x14ac:dyDescent="0.25">
      <c r="I289" s="14">
        <f>MATCH(J289,J:J,0)</f>
        <v>29</v>
      </c>
      <c r="J289" s="14" t="s">
        <v>209</v>
      </c>
      <c r="M289">
        <f>IF(Tabela1[[#This Row],[Qtd Filhos]]&gt;=8,1,0)</f>
        <v>0</v>
      </c>
      <c r="N289">
        <f>IF(Tabela1[[#This Row],[Idade]]&gt;50,1,0)</f>
        <v>0</v>
      </c>
      <c r="O289">
        <f>YEAR(Tabela1[[#This Row],[Data Nasc.]])</f>
        <v>1996</v>
      </c>
    </row>
    <row r="290" spans="9:15" x14ac:dyDescent="0.25">
      <c r="I290" s="14">
        <f>MATCH(J290,J:J,0)</f>
        <v>94</v>
      </c>
      <c r="J290" s="14" t="s">
        <v>293</v>
      </c>
      <c r="M290">
        <f>IF(Tabela1[[#This Row],[Qtd Filhos]]&gt;=8,1,0)</f>
        <v>0</v>
      </c>
      <c r="N290">
        <f>IF(Tabela1[[#This Row],[Idade]]&gt;50,1,0)</f>
        <v>1</v>
      </c>
      <c r="O290">
        <f>YEAR(Tabela1[[#This Row],[Data Nasc.]])</f>
        <v>1972</v>
      </c>
    </row>
    <row r="291" spans="9:15" x14ac:dyDescent="0.25">
      <c r="I291" s="14">
        <f>MATCH(J291,J:J,0)</f>
        <v>108</v>
      </c>
      <c r="J291" s="14" t="s">
        <v>227</v>
      </c>
      <c r="M291">
        <f>IF(Tabela1[[#This Row],[Qtd Filhos]]&gt;=8,1,0)</f>
        <v>0</v>
      </c>
      <c r="N291">
        <f>IF(Tabela1[[#This Row],[Idade]]&gt;50,1,0)</f>
        <v>1</v>
      </c>
      <c r="O291">
        <f>YEAR(Tabela1[[#This Row],[Data Nasc.]])</f>
        <v>1964</v>
      </c>
    </row>
    <row r="292" spans="9:15" x14ac:dyDescent="0.25">
      <c r="I292" s="14">
        <f>MATCH(J292,J:J,0)</f>
        <v>292</v>
      </c>
      <c r="J292" s="14" t="s">
        <v>177</v>
      </c>
      <c r="M292">
        <f>IF(Tabela1[[#This Row],[Qtd Filhos]]&gt;=8,1,0)</f>
        <v>0</v>
      </c>
      <c r="N292">
        <f>IF(Tabela1[[#This Row],[Idade]]&gt;50,1,0)</f>
        <v>0</v>
      </c>
      <c r="O292">
        <f>YEAR(Tabela1[[#This Row],[Data Nasc.]])</f>
        <v>1986</v>
      </c>
    </row>
    <row r="293" spans="9:15" x14ac:dyDescent="0.25">
      <c r="I293" s="14">
        <f>MATCH(J293,J:J,0)</f>
        <v>3</v>
      </c>
      <c r="J293" s="14" t="s">
        <v>103</v>
      </c>
      <c r="M293">
        <f>IF(Tabela1[[#This Row],[Qtd Filhos]]&gt;=8,1,0)</f>
        <v>0</v>
      </c>
      <c r="N293">
        <f>IF(Tabela1[[#This Row],[Idade]]&gt;50,1,0)</f>
        <v>1</v>
      </c>
      <c r="O293">
        <f>YEAR(Tabela1[[#This Row],[Data Nasc.]])</f>
        <v>1961</v>
      </c>
    </row>
    <row r="294" spans="9:15" x14ac:dyDescent="0.25">
      <c r="I294" s="14">
        <f>MATCH(J294,J:J,0)</f>
        <v>108</v>
      </c>
      <c r="J294" s="14" t="s">
        <v>227</v>
      </c>
      <c r="M294">
        <f>IF(Tabela1[[#This Row],[Qtd Filhos]]&gt;=8,1,0)</f>
        <v>0</v>
      </c>
      <c r="N294">
        <f>IF(Tabela1[[#This Row],[Idade]]&gt;50,1,0)</f>
        <v>1</v>
      </c>
      <c r="O294">
        <f>YEAR(Tabela1[[#This Row],[Data Nasc.]])</f>
        <v>1961</v>
      </c>
    </row>
    <row r="295" spans="9:15" x14ac:dyDescent="0.25">
      <c r="I295" s="14">
        <f>MATCH(J295,J:J,0)</f>
        <v>5</v>
      </c>
      <c r="J295" s="14" t="s">
        <v>171</v>
      </c>
      <c r="M295">
        <f>IF(Tabela1[[#This Row],[Qtd Filhos]]&gt;=8,1,0)</f>
        <v>0</v>
      </c>
      <c r="N295">
        <f>IF(Tabela1[[#This Row],[Idade]]&gt;50,1,0)</f>
        <v>0</v>
      </c>
      <c r="O295">
        <f>YEAR(Tabela1[[#This Row],[Data Nasc.]])</f>
        <v>1985</v>
      </c>
    </row>
    <row r="296" spans="9:15" x14ac:dyDescent="0.25">
      <c r="I296" s="14">
        <f>MATCH(J296,J:J,0)</f>
        <v>7</v>
      </c>
      <c r="J296" s="14" t="s">
        <v>118</v>
      </c>
      <c r="M296">
        <f>IF(Tabela1[[#This Row],[Qtd Filhos]]&gt;=8,1,0)</f>
        <v>0</v>
      </c>
      <c r="N296">
        <f>IF(Tabela1[[#This Row],[Idade]]&gt;50,1,0)</f>
        <v>0</v>
      </c>
      <c r="O296">
        <f>YEAR(Tabela1[[#This Row],[Data Nasc.]])</f>
        <v>1988</v>
      </c>
    </row>
    <row r="297" spans="9:15" x14ac:dyDescent="0.25">
      <c r="I297" s="14">
        <f>MATCH(J297,J:J,0)</f>
        <v>202</v>
      </c>
      <c r="J297" s="14" t="s">
        <v>218</v>
      </c>
      <c r="M297">
        <f>IF(Tabela1[[#This Row],[Qtd Filhos]]&gt;=8,1,0)</f>
        <v>0</v>
      </c>
      <c r="N297">
        <f>IF(Tabela1[[#This Row],[Idade]]&gt;50,1,0)</f>
        <v>1</v>
      </c>
      <c r="O297">
        <f>YEAR(Tabela1[[#This Row],[Data Nasc.]])</f>
        <v>1975</v>
      </c>
    </row>
    <row r="298" spans="9:15" x14ac:dyDescent="0.25">
      <c r="I298" s="14">
        <f>MATCH(J298,J:J,0)</f>
        <v>298</v>
      </c>
      <c r="J298" s="14" t="s">
        <v>90</v>
      </c>
      <c r="M298">
        <f>IF(Tabela1[[#This Row],[Qtd Filhos]]&gt;=8,1,0)</f>
        <v>0</v>
      </c>
      <c r="N298">
        <f>IF(Tabela1[[#This Row],[Idade]]&gt;50,1,0)</f>
        <v>0</v>
      </c>
      <c r="O298">
        <f>YEAR(Tabela1[[#This Row],[Data Nasc.]])</f>
        <v>1980</v>
      </c>
    </row>
    <row r="299" spans="9:15" x14ac:dyDescent="0.25">
      <c r="I299" s="14">
        <f>MATCH(J299,J:J,0)</f>
        <v>33</v>
      </c>
      <c r="J299" s="14" t="s">
        <v>263</v>
      </c>
      <c r="M299">
        <f>IF(Tabela1[[#This Row],[Qtd Filhos]]&gt;=8,1,0)</f>
        <v>0</v>
      </c>
      <c r="N299">
        <f>IF(Tabela1[[#This Row],[Idade]]&gt;50,1,0)</f>
        <v>0</v>
      </c>
      <c r="O299">
        <f>YEAR(Tabela1[[#This Row],[Data Nasc.]])</f>
        <v>1999</v>
      </c>
    </row>
    <row r="300" spans="9:15" x14ac:dyDescent="0.25">
      <c r="I300" s="14">
        <f>MATCH(J300,J:J,0)</f>
        <v>56</v>
      </c>
      <c r="J300" s="14" t="s">
        <v>18</v>
      </c>
      <c r="M300">
        <f>IF(Tabela1[[#This Row],[Qtd Filhos]]&gt;=8,1,0)</f>
        <v>0</v>
      </c>
      <c r="N300">
        <f>IF(Tabela1[[#This Row],[Idade]]&gt;50,1,0)</f>
        <v>0</v>
      </c>
      <c r="O300">
        <f>YEAR(Tabela1[[#This Row],[Data Nasc.]])</f>
        <v>1997</v>
      </c>
    </row>
    <row r="301" spans="9:15" x14ac:dyDescent="0.25">
      <c r="I301" s="14">
        <f>MATCH(J301,J:J,0)</f>
        <v>149</v>
      </c>
      <c r="J301" s="14" t="s">
        <v>162</v>
      </c>
      <c r="M301">
        <f>IF(Tabela1[[#This Row],[Qtd Filhos]]&gt;=8,1,0)</f>
        <v>0</v>
      </c>
      <c r="N301">
        <f>IF(Tabela1[[#This Row],[Idade]]&gt;50,1,0)</f>
        <v>0</v>
      </c>
      <c r="O301">
        <f>YEAR(Tabela1[[#This Row],[Data Nasc.]])</f>
        <v>1977</v>
      </c>
    </row>
    <row r="302" spans="9:15" x14ac:dyDescent="0.25">
      <c r="I302" s="14">
        <f>MATCH(J302,J:J,0)</f>
        <v>27</v>
      </c>
      <c r="J302" s="14" t="s">
        <v>207</v>
      </c>
      <c r="M302">
        <f>IF(Tabela1[[#This Row],[Qtd Filhos]]&gt;=8,1,0)</f>
        <v>0</v>
      </c>
      <c r="N302">
        <f>IF(Tabela1[[#This Row],[Idade]]&gt;50,1,0)</f>
        <v>0</v>
      </c>
      <c r="O302">
        <f>YEAR(Tabela1[[#This Row],[Data Nasc.]])</f>
        <v>2008</v>
      </c>
    </row>
    <row r="303" spans="9:15" x14ac:dyDescent="0.25">
      <c r="I303" s="14">
        <f>MATCH(J303,J:J,0)</f>
        <v>65</v>
      </c>
      <c r="J303" s="14" t="s">
        <v>64</v>
      </c>
      <c r="M303">
        <f>IF(Tabela1[[#This Row],[Qtd Filhos]]&gt;=8,1,0)</f>
        <v>0</v>
      </c>
      <c r="N303">
        <f>IF(Tabela1[[#This Row],[Idade]]&gt;50,1,0)</f>
        <v>0</v>
      </c>
      <c r="O303">
        <f>YEAR(Tabela1[[#This Row],[Data Nasc.]])</f>
        <v>2007</v>
      </c>
    </row>
    <row r="304" spans="9:15" x14ac:dyDescent="0.25">
      <c r="I304" s="14">
        <f>MATCH(J304,J:J,0)</f>
        <v>28</v>
      </c>
      <c r="J304" s="14" t="s">
        <v>211</v>
      </c>
      <c r="M304">
        <f>IF(Tabela1[[#This Row],[Qtd Filhos]]&gt;=8,1,0)</f>
        <v>0</v>
      </c>
      <c r="N304">
        <f>IF(Tabela1[[#This Row],[Idade]]&gt;50,1,0)</f>
        <v>0</v>
      </c>
      <c r="O304">
        <f>YEAR(Tabela1[[#This Row],[Data Nasc.]])</f>
        <v>1978</v>
      </c>
    </row>
    <row r="305" spans="9:15" x14ac:dyDescent="0.25">
      <c r="I305" s="14">
        <f>MATCH(J305,J:J,0)</f>
        <v>43</v>
      </c>
      <c r="J305" s="14" t="s">
        <v>154</v>
      </c>
      <c r="M305">
        <f>IF(Tabela1[[#This Row],[Qtd Filhos]]&gt;=8,1,0)</f>
        <v>0</v>
      </c>
      <c r="N305">
        <f>IF(Tabela1[[#This Row],[Idade]]&gt;50,1,0)</f>
        <v>0</v>
      </c>
      <c r="O305">
        <f>YEAR(Tabela1[[#This Row],[Data Nasc.]])</f>
        <v>1991</v>
      </c>
    </row>
    <row r="306" spans="9:15" x14ac:dyDescent="0.25">
      <c r="I306" s="14">
        <f>MATCH(J306,J:J,0)</f>
        <v>212</v>
      </c>
      <c r="J306" s="14" t="s">
        <v>201</v>
      </c>
      <c r="M306">
        <f>IF(Tabela1[[#This Row],[Qtd Filhos]]&gt;=8,1,0)</f>
        <v>0</v>
      </c>
      <c r="N306">
        <f>IF(Tabela1[[#This Row],[Idade]]&gt;50,1,0)</f>
        <v>1</v>
      </c>
      <c r="O306">
        <f>YEAR(Tabela1[[#This Row],[Data Nasc.]])</f>
        <v>1966</v>
      </c>
    </row>
    <row r="307" spans="9:15" x14ac:dyDescent="0.25">
      <c r="I307" s="14">
        <f>MATCH(J307,J:J,0)</f>
        <v>256</v>
      </c>
      <c r="J307" s="14" t="s">
        <v>188</v>
      </c>
      <c r="M307">
        <f>IF(Tabela1[[#This Row],[Qtd Filhos]]&gt;=8,1,0)</f>
        <v>0</v>
      </c>
      <c r="N307">
        <f>IF(Tabela1[[#This Row],[Idade]]&gt;50,1,0)</f>
        <v>0</v>
      </c>
      <c r="O307">
        <f>YEAR(Tabela1[[#This Row],[Data Nasc.]])</f>
        <v>2001</v>
      </c>
    </row>
    <row r="308" spans="9:15" x14ac:dyDescent="0.25">
      <c r="I308" s="14">
        <f>MATCH(J308,J:J,0)</f>
        <v>63</v>
      </c>
      <c r="J308" s="14" t="s">
        <v>279</v>
      </c>
      <c r="M308">
        <f>IF(Tabela1[[#This Row],[Qtd Filhos]]&gt;=8,1,0)</f>
        <v>0</v>
      </c>
      <c r="N308">
        <f>IF(Tabela1[[#This Row],[Idade]]&gt;50,1,0)</f>
        <v>0</v>
      </c>
      <c r="O308">
        <f>YEAR(Tabela1[[#This Row],[Data Nasc.]])</f>
        <v>1995</v>
      </c>
    </row>
    <row r="309" spans="9:15" x14ac:dyDescent="0.25">
      <c r="I309" s="14">
        <f>MATCH(J309,J:J,0)</f>
        <v>149</v>
      </c>
      <c r="J309" s="14" t="s">
        <v>162</v>
      </c>
      <c r="M309">
        <f>IF(Tabela1[[#This Row],[Qtd Filhos]]&gt;=8,1,0)</f>
        <v>0</v>
      </c>
      <c r="N309">
        <f>IF(Tabela1[[#This Row],[Idade]]&gt;50,1,0)</f>
        <v>1</v>
      </c>
      <c r="O309">
        <f>YEAR(Tabela1[[#This Row],[Data Nasc.]])</f>
        <v>1972</v>
      </c>
    </row>
    <row r="310" spans="9:15" x14ac:dyDescent="0.25">
      <c r="I310" s="14">
        <f>MATCH(J310,J:J,0)</f>
        <v>26</v>
      </c>
      <c r="J310" s="14" t="s">
        <v>287</v>
      </c>
      <c r="M310">
        <f>IF(Tabela1[[#This Row],[Qtd Filhos]]&gt;=8,1,0)</f>
        <v>0</v>
      </c>
      <c r="N310">
        <f>IF(Tabela1[[#This Row],[Idade]]&gt;50,1,0)</f>
        <v>0</v>
      </c>
      <c r="O310">
        <f>YEAR(Tabela1[[#This Row],[Data Nasc.]])</f>
        <v>1995</v>
      </c>
    </row>
    <row r="311" spans="9:15" x14ac:dyDescent="0.25">
      <c r="I311" s="14">
        <f>MATCH(J311,J:J,0)</f>
        <v>11</v>
      </c>
      <c r="J311" s="14" t="s">
        <v>166</v>
      </c>
      <c r="M311">
        <f>IF(Tabela1[[#This Row],[Qtd Filhos]]&gt;=8,1,0)</f>
        <v>0</v>
      </c>
      <c r="N311">
        <f>IF(Tabela1[[#This Row],[Idade]]&gt;50,1,0)</f>
        <v>0</v>
      </c>
      <c r="O311">
        <f>YEAR(Tabela1[[#This Row],[Data Nasc.]])</f>
        <v>1997</v>
      </c>
    </row>
    <row r="312" spans="9:15" x14ac:dyDescent="0.25">
      <c r="I312" s="14">
        <f>MATCH(J312,J:J,0)</f>
        <v>53</v>
      </c>
      <c r="J312" s="14" t="s">
        <v>271</v>
      </c>
      <c r="M312">
        <f>IF(Tabela1[[#This Row],[Qtd Filhos]]&gt;=8,1,0)</f>
        <v>0</v>
      </c>
      <c r="N312">
        <f>IF(Tabela1[[#This Row],[Idade]]&gt;50,1,0)</f>
        <v>0</v>
      </c>
      <c r="O312">
        <f>YEAR(Tabela1[[#This Row],[Data Nasc.]])</f>
        <v>1989</v>
      </c>
    </row>
    <row r="313" spans="9:15" x14ac:dyDescent="0.25">
      <c r="I313" s="14">
        <f>MATCH(J313,J:J,0)</f>
        <v>34</v>
      </c>
      <c r="J313" s="14" t="s">
        <v>235</v>
      </c>
      <c r="M313">
        <f>IF(Tabela1[[#This Row],[Qtd Filhos]]&gt;=8,1,0)</f>
        <v>0</v>
      </c>
      <c r="N313">
        <f>IF(Tabela1[[#This Row],[Idade]]&gt;50,1,0)</f>
        <v>0</v>
      </c>
      <c r="O313">
        <f>YEAR(Tabela1[[#This Row],[Data Nasc.]])</f>
        <v>1991</v>
      </c>
    </row>
    <row r="314" spans="9:15" x14ac:dyDescent="0.25">
      <c r="I314" s="14">
        <f>MATCH(J314,J:J,0)</f>
        <v>28</v>
      </c>
      <c r="J314" s="14" t="s">
        <v>211</v>
      </c>
      <c r="M314">
        <f>IF(Tabela1[[#This Row],[Qtd Filhos]]&gt;=8,1,0)</f>
        <v>0</v>
      </c>
      <c r="N314">
        <f>IF(Tabela1[[#This Row],[Idade]]&gt;50,1,0)</f>
        <v>1</v>
      </c>
      <c r="O314">
        <f>YEAR(Tabela1[[#This Row],[Data Nasc.]])</f>
        <v>1965</v>
      </c>
    </row>
    <row r="315" spans="9:15" x14ac:dyDescent="0.25">
      <c r="I315" s="14">
        <f>MATCH(J315,J:J,0)</f>
        <v>19</v>
      </c>
      <c r="J315" s="14" t="s">
        <v>80</v>
      </c>
      <c r="M315">
        <f>IF(Tabela1[[#This Row],[Qtd Filhos]]&gt;=8,1,0)</f>
        <v>0</v>
      </c>
      <c r="N315">
        <f>IF(Tabela1[[#This Row],[Idade]]&gt;50,1,0)</f>
        <v>0</v>
      </c>
      <c r="O315">
        <f>YEAR(Tabela1[[#This Row],[Data Nasc.]])</f>
        <v>1994</v>
      </c>
    </row>
    <row r="316" spans="9:15" x14ac:dyDescent="0.25">
      <c r="I316" s="14">
        <f>MATCH(J316,J:J,0)</f>
        <v>25</v>
      </c>
      <c r="J316" s="14" t="s">
        <v>214</v>
      </c>
      <c r="M316">
        <f>IF(Tabela1[[#This Row],[Qtd Filhos]]&gt;=8,1,0)</f>
        <v>0</v>
      </c>
      <c r="N316">
        <f>IF(Tabela1[[#This Row],[Idade]]&gt;50,1,0)</f>
        <v>1</v>
      </c>
      <c r="O316">
        <f>YEAR(Tabela1[[#This Row],[Data Nasc.]])</f>
        <v>1969</v>
      </c>
    </row>
    <row r="317" spans="9:15" x14ac:dyDescent="0.25">
      <c r="I317" s="14">
        <f>MATCH(J317,J:J,0)</f>
        <v>317</v>
      </c>
      <c r="J317" s="14" t="s">
        <v>242</v>
      </c>
      <c r="M317">
        <f>IF(Tabela1[[#This Row],[Qtd Filhos]]&gt;=8,1,0)</f>
        <v>0</v>
      </c>
      <c r="N317">
        <f>IF(Tabela1[[#This Row],[Idade]]&gt;50,1,0)</f>
        <v>0</v>
      </c>
      <c r="O317">
        <f>YEAR(Tabela1[[#This Row],[Data Nasc.]])</f>
        <v>1992</v>
      </c>
    </row>
    <row r="318" spans="9:15" x14ac:dyDescent="0.25">
      <c r="I318" s="14">
        <f>MATCH(J318,J:J,0)</f>
        <v>202</v>
      </c>
      <c r="J318" s="14" t="s">
        <v>218</v>
      </c>
      <c r="M318">
        <f>IF(Tabela1[[#This Row],[Qtd Filhos]]&gt;=8,1,0)</f>
        <v>0</v>
      </c>
      <c r="N318">
        <f>IF(Tabela1[[#This Row],[Idade]]&gt;50,1,0)</f>
        <v>1</v>
      </c>
      <c r="O318">
        <f>YEAR(Tabela1[[#This Row],[Data Nasc.]])</f>
        <v>1975</v>
      </c>
    </row>
    <row r="319" spans="9:15" x14ac:dyDescent="0.25">
      <c r="I319" s="14">
        <f>MATCH(J319,J:J,0)</f>
        <v>177</v>
      </c>
      <c r="J319" s="14" t="s">
        <v>25</v>
      </c>
      <c r="M319">
        <f>IF(Tabela1[[#This Row],[Qtd Filhos]]&gt;=8,1,0)</f>
        <v>0</v>
      </c>
      <c r="N319">
        <f>IF(Tabela1[[#This Row],[Idade]]&gt;50,1,0)</f>
        <v>1</v>
      </c>
      <c r="O319">
        <f>YEAR(Tabela1[[#This Row],[Data Nasc.]])</f>
        <v>1967</v>
      </c>
    </row>
    <row r="320" spans="9:15" x14ac:dyDescent="0.25">
      <c r="I320" s="14">
        <f>MATCH(J320,J:J,0)</f>
        <v>72</v>
      </c>
      <c r="J320" s="14" t="s">
        <v>179</v>
      </c>
      <c r="M320">
        <f>IF(Tabela1[[#This Row],[Qtd Filhos]]&gt;=8,1,0)</f>
        <v>0</v>
      </c>
      <c r="N320">
        <f>IF(Tabela1[[#This Row],[Idade]]&gt;50,1,0)</f>
        <v>1</v>
      </c>
      <c r="O320">
        <f>YEAR(Tabela1[[#This Row],[Data Nasc.]])</f>
        <v>1961</v>
      </c>
    </row>
    <row r="321" spans="9:15" x14ac:dyDescent="0.25">
      <c r="I321" s="14">
        <f>MATCH(J321,J:J,0)</f>
        <v>17</v>
      </c>
      <c r="J321" s="14" t="s">
        <v>143</v>
      </c>
      <c r="M321">
        <f>IF(Tabela1[[#This Row],[Qtd Filhos]]&gt;=8,1,0)</f>
        <v>0</v>
      </c>
      <c r="N321">
        <f>IF(Tabela1[[#This Row],[Idade]]&gt;50,1,0)</f>
        <v>1</v>
      </c>
      <c r="O321">
        <f>YEAR(Tabela1[[#This Row],[Data Nasc.]])</f>
        <v>1966</v>
      </c>
    </row>
    <row r="322" spans="9:15" x14ac:dyDescent="0.25">
      <c r="I322" s="14">
        <f>MATCH(J322,J:J,0)</f>
        <v>168</v>
      </c>
      <c r="J322" s="14" t="s">
        <v>61</v>
      </c>
      <c r="M322">
        <f>IF(Tabela1[[#This Row],[Qtd Filhos]]&gt;=8,1,0)</f>
        <v>0</v>
      </c>
      <c r="N322">
        <f>IF(Tabela1[[#This Row],[Idade]]&gt;50,1,0)</f>
        <v>0</v>
      </c>
      <c r="O322">
        <f>YEAR(Tabela1[[#This Row],[Data Nasc.]])</f>
        <v>1980</v>
      </c>
    </row>
    <row r="323" spans="9:15" x14ac:dyDescent="0.25">
      <c r="I323" s="14">
        <f>MATCH(J323,J:J,0)</f>
        <v>58</v>
      </c>
      <c r="J323" s="14" t="s">
        <v>116</v>
      </c>
      <c r="M323">
        <f>IF(Tabela1[[#This Row],[Qtd Filhos]]&gt;=8,1,0)</f>
        <v>0</v>
      </c>
      <c r="N323">
        <f>IF(Tabela1[[#This Row],[Idade]]&gt;50,1,0)</f>
        <v>0</v>
      </c>
      <c r="O323">
        <f>YEAR(Tabela1[[#This Row],[Data Nasc.]])</f>
        <v>1984</v>
      </c>
    </row>
    <row r="324" spans="9:15" x14ac:dyDescent="0.25">
      <c r="I324" s="14">
        <f>MATCH(J324,J:J,0)</f>
        <v>37</v>
      </c>
      <c r="J324" s="14" t="s">
        <v>147</v>
      </c>
      <c r="M324">
        <f>IF(Tabela1[[#This Row],[Qtd Filhos]]&gt;=8,1,0)</f>
        <v>0</v>
      </c>
      <c r="N324">
        <f>IF(Tabela1[[#This Row],[Idade]]&gt;50,1,0)</f>
        <v>0</v>
      </c>
      <c r="O324">
        <f>YEAR(Tabela1[[#This Row],[Data Nasc.]])</f>
        <v>1991</v>
      </c>
    </row>
    <row r="325" spans="9:15" x14ac:dyDescent="0.25">
      <c r="I325" s="14">
        <f>MATCH(J325,J:J,0)</f>
        <v>288</v>
      </c>
      <c r="J325" s="14" t="s">
        <v>109</v>
      </c>
      <c r="M325">
        <f>IF(Tabela1[[#This Row],[Qtd Filhos]]&gt;=8,1,0)</f>
        <v>0</v>
      </c>
      <c r="N325">
        <f>IF(Tabela1[[#This Row],[Idade]]&gt;50,1,0)</f>
        <v>0</v>
      </c>
      <c r="O325">
        <f>YEAR(Tabela1[[#This Row],[Data Nasc.]])</f>
        <v>2006</v>
      </c>
    </row>
    <row r="326" spans="9:15" x14ac:dyDescent="0.25">
      <c r="I326" s="14">
        <f>MATCH(J326,J:J,0)</f>
        <v>260</v>
      </c>
      <c r="J326" s="14" t="s">
        <v>182</v>
      </c>
      <c r="M326">
        <f>IF(Tabela1[[#This Row],[Qtd Filhos]]&gt;=8,1,0)</f>
        <v>0</v>
      </c>
      <c r="N326">
        <f>IF(Tabela1[[#This Row],[Idade]]&gt;50,1,0)</f>
        <v>1</v>
      </c>
      <c r="O326">
        <f>YEAR(Tabela1[[#This Row],[Data Nasc.]])</f>
        <v>1967</v>
      </c>
    </row>
    <row r="327" spans="9:15" x14ac:dyDescent="0.25">
      <c r="I327" s="14">
        <f>MATCH(J327,J:J,0)</f>
        <v>85</v>
      </c>
      <c r="J327" s="14" t="s">
        <v>101</v>
      </c>
      <c r="M327">
        <f>IF(Tabela1[[#This Row],[Qtd Filhos]]&gt;=8,1,0)</f>
        <v>0</v>
      </c>
      <c r="N327">
        <f>IF(Tabela1[[#This Row],[Idade]]&gt;50,1,0)</f>
        <v>0</v>
      </c>
      <c r="O327">
        <f>YEAR(Tabela1[[#This Row],[Data Nasc.]])</f>
        <v>1977</v>
      </c>
    </row>
    <row r="328" spans="9:15" x14ac:dyDescent="0.25">
      <c r="I328" s="14">
        <f>MATCH(J328,J:J,0)</f>
        <v>43</v>
      </c>
      <c r="J328" s="14" t="s">
        <v>154</v>
      </c>
      <c r="M328">
        <f>IF(Tabela1[[#This Row],[Qtd Filhos]]&gt;=8,1,0)</f>
        <v>0</v>
      </c>
      <c r="N328">
        <f>IF(Tabela1[[#This Row],[Idade]]&gt;50,1,0)</f>
        <v>0</v>
      </c>
      <c r="O328">
        <f>YEAR(Tabela1[[#This Row],[Data Nasc.]])</f>
        <v>1996</v>
      </c>
    </row>
    <row r="329" spans="9:15" x14ac:dyDescent="0.25">
      <c r="I329" s="14">
        <f>MATCH(J329,J:J,0)</f>
        <v>41</v>
      </c>
      <c r="J329" s="14" t="s">
        <v>253</v>
      </c>
      <c r="M329">
        <f>IF(Tabela1[[#This Row],[Qtd Filhos]]&gt;=8,1,0)</f>
        <v>0</v>
      </c>
      <c r="N329">
        <f>IF(Tabela1[[#This Row],[Idade]]&gt;50,1,0)</f>
        <v>0</v>
      </c>
      <c r="O329">
        <f>YEAR(Tabela1[[#This Row],[Data Nasc.]])</f>
        <v>1977</v>
      </c>
    </row>
    <row r="330" spans="9:15" x14ac:dyDescent="0.25">
      <c r="I330" s="14">
        <f>MATCH(J330,J:J,0)</f>
        <v>278</v>
      </c>
      <c r="J330" s="14" t="s">
        <v>267</v>
      </c>
      <c r="M330">
        <f>IF(Tabela1[[#This Row],[Qtd Filhos]]&gt;=8,1,0)</f>
        <v>0</v>
      </c>
      <c r="N330">
        <f>IF(Tabela1[[#This Row],[Idade]]&gt;50,1,0)</f>
        <v>0</v>
      </c>
      <c r="O330">
        <f>YEAR(Tabela1[[#This Row],[Data Nasc.]])</f>
        <v>1984</v>
      </c>
    </row>
    <row r="331" spans="9:15" x14ac:dyDescent="0.25">
      <c r="I331" s="14">
        <f>MATCH(J331,J:J,0)</f>
        <v>129</v>
      </c>
      <c r="J331" s="14" t="s">
        <v>156</v>
      </c>
      <c r="M331">
        <f>IF(Tabela1[[#This Row],[Qtd Filhos]]&gt;=8,1,0)</f>
        <v>0</v>
      </c>
      <c r="N331">
        <f>IF(Tabela1[[#This Row],[Idade]]&gt;50,1,0)</f>
        <v>0</v>
      </c>
      <c r="O331">
        <f>YEAR(Tabela1[[#This Row],[Data Nasc.]])</f>
        <v>1987</v>
      </c>
    </row>
    <row r="332" spans="9:15" x14ac:dyDescent="0.25">
      <c r="I332" s="14">
        <f>MATCH(J332,J:J,0)</f>
        <v>332</v>
      </c>
      <c r="J332" s="14" t="s">
        <v>291</v>
      </c>
      <c r="M332">
        <f>IF(Tabela1[[#This Row],[Qtd Filhos]]&gt;=8,1,0)</f>
        <v>0</v>
      </c>
      <c r="N332">
        <f>IF(Tabela1[[#This Row],[Idade]]&gt;50,1,0)</f>
        <v>0</v>
      </c>
      <c r="O332">
        <f>YEAR(Tabela1[[#This Row],[Data Nasc.]])</f>
        <v>1982</v>
      </c>
    </row>
    <row r="333" spans="9:15" x14ac:dyDescent="0.25">
      <c r="I333" s="14">
        <f>MATCH(J333,J:J,0)</f>
        <v>40</v>
      </c>
      <c r="J333" s="14" t="s">
        <v>173</v>
      </c>
      <c r="M333">
        <f>IF(Tabela1[[#This Row],[Qtd Filhos]]&gt;=8,1,0)</f>
        <v>0</v>
      </c>
      <c r="N333">
        <f>IF(Tabela1[[#This Row],[Idade]]&gt;50,1,0)</f>
        <v>0</v>
      </c>
      <c r="O333">
        <f>YEAR(Tabela1[[#This Row],[Data Nasc.]])</f>
        <v>2008</v>
      </c>
    </row>
    <row r="334" spans="9:15" x14ac:dyDescent="0.25">
      <c r="I334" s="14">
        <f>MATCH(J334,J:J,0)</f>
        <v>15</v>
      </c>
      <c r="J334" s="14" t="s">
        <v>31</v>
      </c>
      <c r="M334">
        <f>IF(Tabela1[[#This Row],[Qtd Filhos]]&gt;=8,1,0)</f>
        <v>0</v>
      </c>
      <c r="N334">
        <f>IF(Tabela1[[#This Row],[Idade]]&gt;50,1,0)</f>
        <v>0</v>
      </c>
      <c r="O334">
        <f>YEAR(Tabela1[[#This Row],[Data Nasc.]])</f>
        <v>1995</v>
      </c>
    </row>
    <row r="335" spans="9:15" x14ac:dyDescent="0.25">
      <c r="I335" s="14">
        <f>MATCH(J335,J:J,0)</f>
        <v>15</v>
      </c>
      <c r="J335" s="14" t="s">
        <v>31</v>
      </c>
      <c r="M335">
        <f>IF(Tabela1[[#This Row],[Qtd Filhos]]&gt;=8,1,0)</f>
        <v>0</v>
      </c>
      <c r="N335">
        <f>IF(Tabela1[[#This Row],[Idade]]&gt;50,1,0)</f>
        <v>0</v>
      </c>
      <c r="O335">
        <f>YEAR(Tabela1[[#This Row],[Data Nasc.]])</f>
        <v>2000</v>
      </c>
    </row>
    <row r="336" spans="9:15" x14ac:dyDescent="0.25">
      <c r="I336" s="14">
        <f>MATCH(J336,J:J,0)</f>
        <v>175</v>
      </c>
      <c r="J336" s="14" t="s">
        <v>145</v>
      </c>
      <c r="M336">
        <f>IF(Tabela1[[#This Row],[Qtd Filhos]]&gt;=8,1,0)</f>
        <v>0</v>
      </c>
      <c r="N336">
        <f>IF(Tabela1[[#This Row],[Idade]]&gt;50,1,0)</f>
        <v>1</v>
      </c>
      <c r="O336">
        <f>YEAR(Tabela1[[#This Row],[Data Nasc.]])</f>
        <v>1967</v>
      </c>
    </row>
    <row r="337" spans="9:15" x14ac:dyDescent="0.25">
      <c r="I337" s="14">
        <f>MATCH(J337,J:J,0)</f>
        <v>77</v>
      </c>
      <c r="J337" s="14" t="s">
        <v>132</v>
      </c>
      <c r="M337">
        <f>IF(Tabela1[[#This Row],[Qtd Filhos]]&gt;=8,1,0)</f>
        <v>0</v>
      </c>
      <c r="N337">
        <f>IF(Tabela1[[#This Row],[Idade]]&gt;50,1,0)</f>
        <v>1</v>
      </c>
      <c r="O337">
        <f>YEAR(Tabela1[[#This Row],[Data Nasc.]])</f>
        <v>1967</v>
      </c>
    </row>
    <row r="338" spans="9:15" x14ac:dyDescent="0.25">
      <c r="I338" s="14">
        <f>MATCH(J338,J:J,0)</f>
        <v>71</v>
      </c>
      <c r="J338" s="14" t="s">
        <v>134</v>
      </c>
      <c r="M338">
        <f>IF(Tabela1[[#This Row],[Qtd Filhos]]&gt;=8,1,0)</f>
        <v>0</v>
      </c>
      <c r="N338">
        <f>IF(Tabela1[[#This Row],[Idade]]&gt;50,1,0)</f>
        <v>0</v>
      </c>
      <c r="O338">
        <f>YEAR(Tabela1[[#This Row],[Data Nasc.]])</f>
        <v>1996</v>
      </c>
    </row>
    <row r="339" spans="9:15" x14ac:dyDescent="0.25">
      <c r="I339" s="14">
        <f>MATCH(J339,J:J,0)</f>
        <v>175</v>
      </c>
      <c r="J339" s="14" t="s">
        <v>145</v>
      </c>
      <c r="M339">
        <f>IF(Tabela1[[#This Row],[Qtd Filhos]]&gt;=8,1,0)</f>
        <v>0</v>
      </c>
      <c r="N339">
        <f>IF(Tabela1[[#This Row],[Idade]]&gt;50,1,0)</f>
        <v>0</v>
      </c>
      <c r="O339">
        <f>YEAR(Tabela1[[#This Row],[Data Nasc.]])</f>
        <v>1986</v>
      </c>
    </row>
    <row r="340" spans="9:15" x14ac:dyDescent="0.25">
      <c r="I340" s="14">
        <f>MATCH(J340,J:J,0)</f>
        <v>153</v>
      </c>
      <c r="J340" s="14" t="s">
        <v>277</v>
      </c>
      <c r="M340">
        <f>IF(Tabela1[[#This Row],[Qtd Filhos]]&gt;=8,1,0)</f>
        <v>0</v>
      </c>
      <c r="N340">
        <f>IF(Tabela1[[#This Row],[Idade]]&gt;50,1,0)</f>
        <v>0</v>
      </c>
      <c r="O340">
        <f>YEAR(Tabela1[[#This Row],[Data Nasc.]])</f>
        <v>1987</v>
      </c>
    </row>
    <row r="341" spans="9:15" x14ac:dyDescent="0.25">
      <c r="I341" s="14">
        <f>MATCH(J341,J:J,0)</f>
        <v>37</v>
      </c>
      <c r="J341" s="14" t="s">
        <v>147</v>
      </c>
      <c r="M341">
        <f>IF(Tabela1[[#This Row],[Qtd Filhos]]&gt;=8,1,0)</f>
        <v>0</v>
      </c>
      <c r="N341">
        <f>IF(Tabela1[[#This Row],[Idade]]&gt;50,1,0)</f>
        <v>0</v>
      </c>
      <c r="O341">
        <f>YEAR(Tabela1[[#This Row],[Data Nasc.]])</f>
        <v>1985</v>
      </c>
    </row>
    <row r="342" spans="9:15" x14ac:dyDescent="0.25">
      <c r="I342" s="14">
        <f>MATCH(J342,J:J,0)</f>
        <v>238</v>
      </c>
      <c r="J342" s="14" t="s">
        <v>93</v>
      </c>
      <c r="M342">
        <f>IF(Tabela1[[#This Row],[Qtd Filhos]]&gt;=8,1,0)</f>
        <v>0</v>
      </c>
      <c r="N342">
        <f>IF(Tabela1[[#This Row],[Idade]]&gt;50,1,0)</f>
        <v>1</v>
      </c>
      <c r="O342">
        <f>YEAR(Tabela1[[#This Row],[Data Nasc.]])</f>
        <v>1971</v>
      </c>
    </row>
    <row r="343" spans="9:15" x14ac:dyDescent="0.25">
      <c r="I343" s="14">
        <f>MATCH(J343,J:J,0)</f>
        <v>239</v>
      </c>
      <c r="J343" s="14" t="s">
        <v>203</v>
      </c>
      <c r="M343">
        <f>IF(Tabela1[[#This Row],[Qtd Filhos]]&gt;=8,1,0)</f>
        <v>0</v>
      </c>
      <c r="N343">
        <f>IF(Tabela1[[#This Row],[Idade]]&gt;50,1,0)</f>
        <v>0</v>
      </c>
      <c r="O343">
        <f>YEAR(Tabela1[[#This Row],[Data Nasc.]])</f>
        <v>2001</v>
      </c>
    </row>
    <row r="344" spans="9:15" x14ac:dyDescent="0.25">
      <c r="I344" s="14">
        <f>MATCH(J344,J:J,0)</f>
        <v>25</v>
      </c>
      <c r="J344" s="14" t="s">
        <v>214</v>
      </c>
      <c r="M344">
        <f>IF(Tabela1[[#This Row],[Qtd Filhos]]&gt;=8,1,0)</f>
        <v>0</v>
      </c>
      <c r="N344">
        <f>IF(Tabela1[[#This Row],[Idade]]&gt;50,1,0)</f>
        <v>0</v>
      </c>
      <c r="O344">
        <f>YEAR(Tabela1[[#This Row],[Data Nasc.]])</f>
        <v>1977</v>
      </c>
    </row>
    <row r="345" spans="9:15" x14ac:dyDescent="0.25">
      <c r="I345" s="14">
        <f>MATCH(J345,J:J,0)</f>
        <v>345</v>
      </c>
      <c r="J345" s="14" t="s">
        <v>105</v>
      </c>
      <c r="M345">
        <f>IF(Tabela1[[#This Row],[Qtd Filhos]]&gt;=8,1,0)</f>
        <v>0</v>
      </c>
      <c r="N345">
        <f>IF(Tabela1[[#This Row],[Idade]]&gt;50,1,0)</f>
        <v>0</v>
      </c>
      <c r="O345">
        <f>YEAR(Tabela1[[#This Row],[Data Nasc.]])</f>
        <v>1982</v>
      </c>
    </row>
    <row r="346" spans="9:15" x14ac:dyDescent="0.25">
      <c r="I346" s="14">
        <f>MATCH(J346,J:J,0)</f>
        <v>19</v>
      </c>
      <c r="J346" s="14" t="s">
        <v>80</v>
      </c>
      <c r="M346">
        <f>IF(Tabela1[[#This Row],[Qtd Filhos]]&gt;=8,1,0)</f>
        <v>0</v>
      </c>
      <c r="N346">
        <f>IF(Tabela1[[#This Row],[Idade]]&gt;50,1,0)</f>
        <v>1</v>
      </c>
      <c r="O346">
        <f>YEAR(Tabela1[[#This Row],[Data Nasc.]])</f>
        <v>1974</v>
      </c>
    </row>
    <row r="347" spans="9:15" x14ac:dyDescent="0.25">
      <c r="I347" s="14">
        <f>MATCH(J347,J:J,0)</f>
        <v>63</v>
      </c>
      <c r="J347" s="14" t="s">
        <v>279</v>
      </c>
      <c r="M347">
        <f>IF(Tabela1[[#This Row],[Qtd Filhos]]&gt;=8,1,0)</f>
        <v>0</v>
      </c>
      <c r="N347">
        <f>IF(Tabela1[[#This Row],[Idade]]&gt;50,1,0)</f>
        <v>0</v>
      </c>
      <c r="O347">
        <f>YEAR(Tabela1[[#This Row],[Data Nasc.]])</f>
        <v>1976</v>
      </c>
    </row>
    <row r="348" spans="9:15" x14ac:dyDescent="0.25">
      <c r="I348" s="14">
        <f>MATCH(J348,J:J,0)</f>
        <v>69</v>
      </c>
      <c r="J348" s="14" t="s">
        <v>160</v>
      </c>
      <c r="M348">
        <f>IF(Tabela1[[#This Row],[Qtd Filhos]]&gt;=8,1,0)</f>
        <v>0</v>
      </c>
      <c r="N348">
        <f>IF(Tabela1[[#This Row],[Idade]]&gt;50,1,0)</f>
        <v>0</v>
      </c>
      <c r="O348">
        <f>YEAR(Tabela1[[#This Row],[Data Nasc.]])</f>
        <v>2001</v>
      </c>
    </row>
    <row r="349" spans="9:15" x14ac:dyDescent="0.25">
      <c r="I349" s="14">
        <f>MATCH(J349,J:J,0)</f>
        <v>32</v>
      </c>
      <c r="J349" s="14" t="s">
        <v>164</v>
      </c>
      <c r="M349">
        <f>IF(Tabela1[[#This Row],[Qtd Filhos]]&gt;=8,1,0)</f>
        <v>0</v>
      </c>
      <c r="N349">
        <f>IF(Tabela1[[#This Row],[Idade]]&gt;50,1,0)</f>
        <v>0</v>
      </c>
      <c r="O349">
        <f>YEAR(Tabela1[[#This Row],[Data Nasc.]])</f>
        <v>1983</v>
      </c>
    </row>
    <row r="350" spans="9:15" x14ac:dyDescent="0.25">
      <c r="I350" s="14">
        <f>MATCH(J350,J:J,0)</f>
        <v>40</v>
      </c>
      <c r="J350" s="14" t="s">
        <v>173</v>
      </c>
      <c r="M350">
        <f>IF(Tabela1[[#This Row],[Qtd Filhos]]&gt;=8,1,0)</f>
        <v>0</v>
      </c>
      <c r="N350">
        <f>IF(Tabela1[[#This Row],[Idade]]&gt;50,1,0)</f>
        <v>1</v>
      </c>
      <c r="O350">
        <f>YEAR(Tabela1[[#This Row],[Data Nasc.]])</f>
        <v>1962</v>
      </c>
    </row>
    <row r="351" spans="9:15" x14ac:dyDescent="0.25">
      <c r="I351" s="14">
        <f>MATCH(J351,J:J,0)</f>
        <v>292</v>
      </c>
      <c r="J351" s="14" t="s">
        <v>177</v>
      </c>
      <c r="M351">
        <f>IF(Tabela1[[#This Row],[Qtd Filhos]]&gt;=8,1,0)</f>
        <v>0</v>
      </c>
      <c r="N351">
        <f>IF(Tabela1[[#This Row],[Idade]]&gt;50,1,0)</f>
        <v>0</v>
      </c>
      <c r="O351">
        <f>YEAR(Tabela1[[#This Row],[Data Nasc.]])</f>
        <v>2006</v>
      </c>
    </row>
    <row r="352" spans="9:15" x14ac:dyDescent="0.25">
      <c r="I352" s="14">
        <f>MATCH(J352,J:J,0)</f>
        <v>9</v>
      </c>
      <c r="J352" s="14" t="s">
        <v>229</v>
      </c>
      <c r="M352">
        <f>IF(Tabela1[[#This Row],[Qtd Filhos]]&gt;=8,1,0)</f>
        <v>0</v>
      </c>
      <c r="N352">
        <f>IF(Tabela1[[#This Row],[Idade]]&gt;50,1,0)</f>
        <v>1</v>
      </c>
      <c r="O352">
        <f>YEAR(Tabela1[[#This Row],[Data Nasc.]])</f>
        <v>1969</v>
      </c>
    </row>
    <row r="353" spans="9:15" x14ac:dyDescent="0.25">
      <c r="I353" s="14">
        <f>MATCH(J353,J:J,0)</f>
        <v>292</v>
      </c>
      <c r="J353" s="14" t="s">
        <v>177</v>
      </c>
      <c r="M353">
        <f>IF(Tabela1[[#This Row],[Qtd Filhos]]&gt;=8,1,0)</f>
        <v>0</v>
      </c>
      <c r="N353">
        <f>IF(Tabela1[[#This Row],[Idade]]&gt;50,1,0)</f>
        <v>0</v>
      </c>
      <c r="O353">
        <f>YEAR(Tabela1[[#This Row],[Data Nasc.]])</f>
        <v>1992</v>
      </c>
    </row>
    <row r="354" spans="9:15" x14ac:dyDescent="0.25">
      <c r="I354" s="14">
        <f>MATCH(J354,J:J,0)</f>
        <v>168</v>
      </c>
      <c r="J354" s="14" t="s">
        <v>61</v>
      </c>
      <c r="M354">
        <f>IF(Tabela1[[#This Row],[Qtd Filhos]]&gt;=8,1,0)</f>
        <v>0</v>
      </c>
      <c r="N354">
        <f>IF(Tabela1[[#This Row],[Idade]]&gt;50,1,0)</f>
        <v>0</v>
      </c>
      <c r="O354">
        <f>YEAR(Tabela1[[#This Row],[Data Nasc.]])</f>
        <v>2007</v>
      </c>
    </row>
    <row r="355" spans="9:15" x14ac:dyDescent="0.25">
      <c r="I355" s="14">
        <f>MATCH(J355,J:J,0)</f>
        <v>15</v>
      </c>
      <c r="J355" s="14" t="s">
        <v>31</v>
      </c>
      <c r="M355">
        <f>IF(Tabela1[[#This Row],[Qtd Filhos]]&gt;=8,1,0)</f>
        <v>0</v>
      </c>
      <c r="N355">
        <f>IF(Tabela1[[#This Row],[Idade]]&gt;50,1,0)</f>
        <v>0</v>
      </c>
      <c r="O355">
        <f>YEAR(Tabela1[[#This Row],[Data Nasc.]])</f>
        <v>1977</v>
      </c>
    </row>
    <row r="356" spans="9:15" x14ac:dyDescent="0.25">
      <c r="I356" s="14">
        <f>MATCH(J356,J:J,0)</f>
        <v>91</v>
      </c>
      <c r="J356" s="14" t="s">
        <v>248</v>
      </c>
      <c r="M356">
        <f>IF(Tabela1[[#This Row],[Qtd Filhos]]&gt;=8,1,0)</f>
        <v>0</v>
      </c>
      <c r="N356">
        <f>IF(Tabela1[[#This Row],[Idade]]&gt;50,1,0)</f>
        <v>0</v>
      </c>
      <c r="O356">
        <f>YEAR(Tabela1[[#This Row],[Data Nasc.]])</f>
        <v>1984</v>
      </c>
    </row>
    <row r="357" spans="9:15" x14ac:dyDescent="0.25">
      <c r="I357" s="14">
        <f>MATCH(J357,J:J,0)</f>
        <v>72</v>
      </c>
      <c r="J357" s="14" t="s">
        <v>179</v>
      </c>
      <c r="M357">
        <f>IF(Tabela1[[#This Row],[Qtd Filhos]]&gt;=8,1,0)</f>
        <v>0</v>
      </c>
      <c r="N357">
        <f>IF(Tabela1[[#This Row],[Idade]]&gt;50,1,0)</f>
        <v>0</v>
      </c>
      <c r="O357">
        <f>YEAR(Tabela1[[#This Row],[Data Nasc.]])</f>
        <v>1997</v>
      </c>
    </row>
    <row r="358" spans="9:15" x14ac:dyDescent="0.25">
      <c r="I358" s="14">
        <f>MATCH(J358,J:J,0)</f>
        <v>43</v>
      </c>
      <c r="J358" s="14" t="s">
        <v>154</v>
      </c>
      <c r="M358">
        <f>IF(Tabela1[[#This Row],[Qtd Filhos]]&gt;=8,1,0)</f>
        <v>0</v>
      </c>
      <c r="N358">
        <f>IF(Tabela1[[#This Row],[Idade]]&gt;50,1,0)</f>
        <v>0</v>
      </c>
      <c r="O358">
        <f>YEAR(Tabela1[[#This Row],[Data Nasc.]])</f>
        <v>1976</v>
      </c>
    </row>
    <row r="359" spans="9:15" x14ac:dyDescent="0.25">
      <c r="I359" s="14">
        <f>MATCH(J359,J:J,0)</f>
        <v>332</v>
      </c>
      <c r="J359" s="14" t="s">
        <v>291</v>
      </c>
      <c r="M359">
        <f>IF(Tabela1[[#This Row],[Qtd Filhos]]&gt;=8,1,0)</f>
        <v>0</v>
      </c>
      <c r="N359">
        <f>IF(Tabela1[[#This Row],[Idade]]&gt;50,1,0)</f>
        <v>1</v>
      </c>
      <c r="O359">
        <f>YEAR(Tabela1[[#This Row],[Data Nasc.]])</f>
        <v>1968</v>
      </c>
    </row>
    <row r="360" spans="9:15" x14ac:dyDescent="0.25">
      <c r="I360" s="14">
        <f>MATCH(J360,J:J,0)</f>
        <v>212</v>
      </c>
      <c r="J360" s="14" t="s">
        <v>201</v>
      </c>
      <c r="M360">
        <f>IF(Tabela1[[#This Row],[Qtd Filhos]]&gt;=8,1,0)</f>
        <v>0</v>
      </c>
      <c r="N360">
        <f>IF(Tabela1[[#This Row],[Idade]]&gt;50,1,0)</f>
        <v>0</v>
      </c>
      <c r="O360">
        <f>YEAR(Tabela1[[#This Row],[Data Nasc.]])</f>
        <v>1993</v>
      </c>
    </row>
    <row r="361" spans="9:15" x14ac:dyDescent="0.25">
      <c r="I361" s="14">
        <f>MATCH(J361,J:J,0)</f>
        <v>98</v>
      </c>
      <c r="J361" s="14" t="s">
        <v>130</v>
      </c>
      <c r="M361">
        <f>IF(Tabela1[[#This Row],[Qtd Filhos]]&gt;=8,1,0)</f>
        <v>0</v>
      </c>
      <c r="N361">
        <f>IF(Tabela1[[#This Row],[Idade]]&gt;50,1,0)</f>
        <v>1</v>
      </c>
      <c r="O361">
        <f>YEAR(Tabela1[[#This Row],[Data Nasc.]])</f>
        <v>1963</v>
      </c>
    </row>
    <row r="362" spans="9:15" x14ac:dyDescent="0.25">
      <c r="I362" s="14">
        <f>MATCH(J362,J:J,0)</f>
        <v>317</v>
      </c>
      <c r="J362" s="14" t="s">
        <v>242</v>
      </c>
      <c r="M362">
        <f>IF(Tabela1[[#This Row],[Qtd Filhos]]&gt;=8,1,0)</f>
        <v>0</v>
      </c>
      <c r="N362">
        <f>IF(Tabela1[[#This Row],[Idade]]&gt;50,1,0)</f>
        <v>1</v>
      </c>
      <c r="O362">
        <f>YEAR(Tabela1[[#This Row],[Data Nasc.]])</f>
        <v>1964</v>
      </c>
    </row>
    <row r="363" spans="9:15" x14ac:dyDescent="0.25">
      <c r="I363" s="14">
        <f>MATCH(J363,J:J,0)</f>
        <v>98</v>
      </c>
      <c r="J363" s="14" t="s">
        <v>130</v>
      </c>
      <c r="M363">
        <f>IF(Tabela1[[#This Row],[Qtd Filhos]]&gt;=8,1,0)</f>
        <v>0</v>
      </c>
      <c r="N363">
        <f>IF(Tabela1[[#This Row],[Idade]]&gt;50,1,0)</f>
        <v>0</v>
      </c>
      <c r="O363">
        <f>YEAR(Tabela1[[#This Row],[Data Nasc.]])</f>
        <v>1987</v>
      </c>
    </row>
    <row r="364" spans="9:15" x14ac:dyDescent="0.25">
      <c r="I364" s="14">
        <f>MATCH(J364,J:J,0)</f>
        <v>153</v>
      </c>
      <c r="J364" s="14" t="s">
        <v>277</v>
      </c>
      <c r="M364">
        <f>IF(Tabela1[[#This Row],[Qtd Filhos]]&gt;=8,1,0)</f>
        <v>0</v>
      </c>
      <c r="N364">
        <f>IF(Tabela1[[#This Row],[Idade]]&gt;50,1,0)</f>
        <v>1</v>
      </c>
      <c r="O364">
        <f>YEAR(Tabela1[[#This Row],[Data Nasc.]])</f>
        <v>1973</v>
      </c>
    </row>
    <row r="365" spans="9:15" x14ac:dyDescent="0.25">
      <c r="I365" s="14">
        <f>MATCH(J365,J:J,0)</f>
        <v>174</v>
      </c>
      <c r="J365" s="14" t="s">
        <v>275</v>
      </c>
      <c r="M365">
        <f>IF(Tabela1[[#This Row],[Qtd Filhos]]&gt;=8,1,0)</f>
        <v>0</v>
      </c>
      <c r="N365">
        <f>IF(Tabela1[[#This Row],[Idade]]&gt;50,1,0)</f>
        <v>0</v>
      </c>
      <c r="O365">
        <f>YEAR(Tabela1[[#This Row],[Data Nasc.]])</f>
        <v>1995</v>
      </c>
    </row>
    <row r="366" spans="9:15" x14ac:dyDescent="0.25">
      <c r="I366" s="14">
        <f>MATCH(J366,J:J,0)</f>
        <v>332</v>
      </c>
      <c r="J366" s="14" t="s">
        <v>291</v>
      </c>
      <c r="M366">
        <f>IF(Tabela1[[#This Row],[Qtd Filhos]]&gt;=8,1,0)</f>
        <v>0</v>
      </c>
      <c r="N366">
        <f>IF(Tabela1[[#This Row],[Idade]]&gt;50,1,0)</f>
        <v>0</v>
      </c>
      <c r="O366">
        <f>YEAR(Tabela1[[#This Row],[Data Nasc.]])</f>
        <v>1995</v>
      </c>
    </row>
    <row r="367" spans="9:15" x14ac:dyDescent="0.25">
      <c r="I367" s="14">
        <f>MATCH(J367,J:J,0)</f>
        <v>19</v>
      </c>
      <c r="J367" s="14" t="s">
        <v>80</v>
      </c>
      <c r="M367">
        <f>IF(Tabela1[[#This Row],[Qtd Filhos]]&gt;=8,1,0)</f>
        <v>0</v>
      </c>
      <c r="N367">
        <f>IF(Tabela1[[#This Row],[Idade]]&gt;50,1,0)</f>
        <v>0</v>
      </c>
      <c r="O367">
        <f>YEAR(Tabela1[[#This Row],[Data Nasc.]])</f>
        <v>1989</v>
      </c>
    </row>
    <row r="368" spans="9:15" x14ac:dyDescent="0.25">
      <c r="I368" s="14">
        <f>MATCH(J368,J:J,0)</f>
        <v>5</v>
      </c>
      <c r="J368" s="14" t="s">
        <v>171</v>
      </c>
      <c r="M368">
        <f>IF(Tabela1[[#This Row],[Qtd Filhos]]&gt;=8,1,0)</f>
        <v>0</v>
      </c>
      <c r="N368">
        <f>IF(Tabela1[[#This Row],[Idade]]&gt;50,1,0)</f>
        <v>0</v>
      </c>
      <c r="O368">
        <f>YEAR(Tabela1[[#This Row],[Data Nasc.]])</f>
        <v>1985</v>
      </c>
    </row>
    <row r="369" spans="9:15" x14ac:dyDescent="0.25">
      <c r="I369" s="14">
        <f>MATCH(J369,J:J,0)</f>
        <v>56</v>
      </c>
      <c r="J369" s="14" t="s">
        <v>18</v>
      </c>
      <c r="M369">
        <f>IF(Tabela1[[#This Row],[Qtd Filhos]]&gt;=8,1,0)</f>
        <v>0</v>
      </c>
      <c r="N369">
        <f>IF(Tabela1[[#This Row],[Idade]]&gt;50,1,0)</f>
        <v>0</v>
      </c>
      <c r="O369">
        <f>YEAR(Tabela1[[#This Row],[Data Nasc.]])</f>
        <v>1983</v>
      </c>
    </row>
    <row r="370" spans="9:15" x14ac:dyDescent="0.25">
      <c r="I370" s="14">
        <f>MATCH(J370,J:J,0)</f>
        <v>31</v>
      </c>
      <c r="J370" s="14" t="s">
        <v>240</v>
      </c>
      <c r="M370">
        <f>IF(Tabela1[[#This Row],[Qtd Filhos]]&gt;=8,1,0)</f>
        <v>0</v>
      </c>
      <c r="N370">
        <f>IF(Tabela1[[#This Row],[Idade]]&gt;50,1,0)</f>
        <v>0</v>
      </c>
      <c r="O370">
        <f>YEAR(Tabela1[[#This Row],[Data Nasc.]])</f>
        <v>1987</v>
      </c>
    </row>
    <row r="371" spans="9:15" x14ac:dyDescent="0.25">
      <c r="I371" s="14">
        <f>MATCH(J371,J:J,0)</f>
        <v>26</v>
      </c>
      <c r="J371" s="14" t="s">
        <v>287</v>
      </c>
      <c r="M371">
        <f>IF(Tabela1[[#This Row],[Qtd Filhos]]&gt;=8,1,0)</f>
        <v>0</v>
      </c>
      <c r="N371">
        <f>IF(Tabela1[[#This Row],[Idade]]&gt;50,1,0)</f>
        <v>0</v>
      </c>
      <c r="O371">
        <f>YEAR(Tabela1[[#This Row],[Data Nasc.]])</f>
        <v>2007</v>
      </c>
    </row>
    <row r="372" spans="9:15" x14ac:dyDescent="0.25">
      <c r="I372" s="14">
        <f>MATCH(J372,J:J,0)</f>
        <v>42</v>
      </c>
      <c r="J372" s="14" t="s">
        <v>220</v>
      </c>
      <c r="M372">
        <f>IF(Tabela1[[#This Row],[Qtd Filhos]]&gt;=8,1,0)</f>
        <v>0</v>
      </c>
      <c r="N372">
        <f>IF(Tabela1[[#This Row],[Idade]]&gt;50,1,0)</f>
        <v>1</v>
      </c>
      <c r="O372">
        <f>YEAR(Tabela1[[#This Row],[Data Nasc.]])</f>
        <v>1967</v>
      </c>
    </row>
    <row r="373" spans="9:15" x14ac:dyDescent="0.25">
      <c r="I373" s="14">
        <f>MATCH(J373,J:J,0)</f>
        <v>278</v>
      </c>
      <c r="J373" s="14" t="s">
        <v>267</v>
      </c>
      <c r="M373">
        <f>IF(Tabela1[[#This Row],[Qtd Filhos]]&gt;=8,1,0)</f>
        <v>0</v>
      </c>
      <c r="N373">
        <f>IF(Tabela1[[#This Row],[Idade]]&gt;50,1,0)</f>
        <v>1</v>
      </c>
      <c r="O373">
        <f>YEAR(Tabela1[[#This Row],[Data Nasc.]])</f>
        <v>1968</v>
      </c>
    </row>
    <row r="374" spans="9:15" x14ac:dyDescent="0.25">
      <c r="I374" s="14">
        <f>MATCH(J374,J:J,0)</f>
        <v>163</v>
      </c>
      <c r="J374" s="14" t="s">
        <v>265</v>
      </c>
      <c r="M374">
        <f>IF(Tabela1[[#This Row],[Qtd Filhos]]&gt;=8,1,0)</f>
        <v>0</v>
      </c>
      <c r="N374">
        <f>IF(Tabela1[[#This Row],[Idade]]&gt;50,1,0)</f>
        <v>0</v>
      </c>
      <c r="O374">
        <f>YEAR(Tabela1[[#This Row],[Data Nasc.]])</f>
        <v>1998</v>
      </c>
    </row>
    <row r="375" spans="9:15" x14ac:dyDescent="0.25">
      <c r="I375" s="14">
        <f>MATCH(J375,J:J,0)</f>
        <v>5</v>
      </c>
      <c r="J375" s="14" t="s">
        <v>171</v>
      </c>
      <c r="M375">
        <f>IF(Tabela1[[#This Row],[Qtd Filhos]]&gt;=8,1,0)</f>
        <v>0</v>
      </c>
      <c r="N375">
        <f>IF(Tabela1[[#This Row],[Idade]]&gt;50,1,0)</f>
        <v>1</v>
      </c>
      <c r="O375">
        <f>YEAR(Tabela1[[#This Row],[Data Nasc.]])</f>
        <v>1972</v>
      </c>
    </row>
    <row r="376" spans="9:15" x14ac:dyDescent="0.25">
      <c r="I376" s="14">
        <f>MATCH(J376,J:J,0)</f>
        <v>288</v>
      </c>
      <c r="J376" s="14" t="s">
        <v>109</v>
      </c>
      <c r="M376">
        <f>IF(Tabela1[[#This Row],[Qtd Filhos]]&gt;=8,1,0)</f>
        <v>0</v>
      </c>
      <c r="N376">
        <f>IF(Tabela1[[#This Row],[Idade]]&gt;50,1,0)</f>
        <v>1</v>
      </c>
      <c r="O376">
        <f>YEAR(Tabela1[[#This Row],[Data Nasc.]])</f>
        <v>1974</v>
      </c>
    </row>
    <row r="377" spans="9:15" x14ac:dyDescent="0.25">
      <c r="I377" s="14">
        <f>MATCH(J377,J:J,0)</f>
        <v>377</v>
      </c>
      <c r="J377" s="14" t="s">
        <v>46</v>
      </c>
      <c r="M377">
        <f>IF(Tabela1[[#This Row],[Qtd Filhos]]&gt;=8,1,0)</f>
        <v>0</v>
      </c>
      <c r="N377">
        <f>IF(Tabela1[[#This Row],[Idade]]&gt;50,1,0)</f>
        <v>0</v>
      </c>
      <c r="O377">
        <f>YEAR(Tabela1[[#This Row],[Data Nasc.]])</f>
        <v>1991</v>
      </c>
    </row>
    <row r="378" spans="9:15" x14ac:dyDescent="0.25">
      <c r="I378" s="14">
        <f>MATCH(J378,J:J,0)</f>
        <v>292</v>
      </c>
      <c r="J378" s="14" t="s">
        <v>177</v>
      </c>
      <c r="M378">
        <f>IF(Tabela1[[#This Row],[Qtd Filhos]]&gt;=8,1,0)</f>
        <v>0</v>
      </c>
      <c r="N378">
        <f>IF(Tabela1[[#This Row],[Idade]]&gt;50,1,0)</f>
        <v>0</v>
      </c>
      <c r="O378">
        <f>YEAR(Tabela1[[#This Row],[Data Nasc.]])</f>
        <v>1977</v>
      </c>
    </row>
    <row r="379" spans="9:15" x14ac:dyDescent="0.25">
      <c r="I379" s="14">
        <f>MATCH(J379,J:J,0)</f>
        <v>332</v>
      </c>
      <c r="J379" s="14" t="s">
        <v>291</v>
      </c>
      <c r="M379">
        <f>IF(Tabela1[[#This Row],[Qtd Filhos]]&gt;=8,1,0)</f>
        <v>0</v>
      </c>
      <c r="N379">
        <f>IF(Tabela1[[#This Row],[Idade]]&gt;50,1,0)</f>
        <v>0</v>
      </c>
      <c r="O379">
        <f>YEAR(Tabela1[[#This Row],[Data Nasc.]])</f>
        <v>1995</v>
      </c>
    </row>
    <row r="380" spans="9:15" x14ac:dyDescent="0.25">
      <c r="I380" s="14">
        <f>MATCH(J380,J:J,0)</f>
        <v>53</v>
      </c>
      <c r="J380" s="14" t="s">
        <v>271</v>
      </c>
      <c r="M380">
        <f>IF(Tabela1[[#This Row],[Qtd Filhos]]&gt;=8,1,0)</f>
        <v>0</v>
      </c>
      <c r="N380">
        <f>IF(Tabela1[[#This Row],[Idade]]&gt;50,1,0)</f>
        <v>0</v>
      </c>
      <c r="O380">
        <f>YEAR(Tabela1[[#This Row],[Data Nasc.]])</f>
        <v>1994</v>
      </c>
    </row>
    <row r="381" spans="9:15" x14ac:dyDescent="0.25">
      <c r="I381" s="14">
        <f>MATCH(J381,J:J,0)</f>
        <v>345</v>
      </c>
      <c r="J381" s="14" t="s">
        <v>105</v>
      </c>
      <c r="M381">
        <f>IF(Tabela1[[#This Row],[Qtd Filhos]]&gt;=8,1,0)</f>
        <v>0</v>
      </c>
      <c r="N381">
        <f>IF(Tabela1[[#This Row],[Idade]]&gt;50,1,0)</f>
        <v>1</v>
      </c>
      <c r="O381">
        <f>YEAR(Tabela1[[#This Row],[Data Nasc.]])</f>
        <v>1971</v>
      </c>
    </row>
    <row r="382" spans="9:15" x14ac:dyDescent="0.25">
      <c r="I382" s="14">
        <f>MATCH(J382,J:J,0)</f>
        <v>212</v>
      </c>
      <c r="J382" s="14" t="s">
        <v>201</v>
      </c>
      <c r="M382">
        <f>IF(Tabela1[[#This Row],[Qtd Filhos]]&gt;=8,1,0)</f>
        <v>0</v>
      </c>
      <c r="N382">
        <f>IF(Tabela1[[#This Row],[Idade]]&gt;50,1,0)</f>
        <v>0</v>
      </c>
      <c r="O382">
        <f>YEAR(Tabela1[[#This Row],[Data Nasc.]])</f>
        <v>1985</v>
      </c>
    </row>
    <row r="383" spans="9:15" x14ac:dyDescent="0.25">
      <c r="I383" s="14">
        <f>MATCH(J383,J:J,0)</f>
        <v>21</v>
      </c>
      <c r="J383" s="14" t="s">
        <v>244</v>
      </c>
      <c r="M383">
        <f>IF(Tabela1[[#This Row],[Qtd Filhos]]&gt;=8,1,0)</f>
        <v>0</v>
      </c>
      <c r="N383">
        <f>IF(Tabela1[[#This Row],[Idade]]&gt;50,1,0)</f>
        <v>0</v>
      </c>
      <c r="O383">
        <f>YEAR(Tabela1[[#This Row],[Data Nasc.]])</f>
        <v>1996</v>
      </c>
    </row>
    <row r="384" spans="9:15" x14ac:dyDescent="0.25">
      <c r="I384" s="14">
        <f>MATCH(J384,J:J,0)</f>
        <v>31</v>
      </c>
      <c r="J384" s="14" t="s">
        <v>240</v>
      </c>
      <c r="M384">
        <f>IF(Tabela1[[#This Row],[Qtd Filhos]]&gt;=8,1,0)</f>
        <v>0</v>
      </c>
      <c r="N384">
        <f>IF(Tabela1[[#This Row],[Idade]]&gt;50,1,0)</f>
        <v>0</v>
      </c>
      <c r="O384">
        <f>YEAR(Tabela1[[#This Row],[Data Nasc.]])</f>
        <v>1987</v>
      </c>
    </row>
    <row r="385" spans="9:15" x14ac:dyDescent="0.25">
      <c r="I385" s="14">
        <f>MATCH(J385,J:J,0)</f>
        <v>43</v>
      </c>
      <c r="J385" s="14" t="s">
        <v>154</v>
      </c>
      <c r="M385">
        <f>IF(Tabela1[[#This Row],[Qtd Filhos]]&gt;=8,1,0)</f>
        <v>0</v>
      </c>
      <c r="N385">
        <f>IF(Tabela1[[#This Row],[Idade]]&gt;50,1,0)</f>
        <v>0</v>
      </c>
      <c r="O385">
        <f>YEAR(Tabela1[[#This Row],[Data Nasc.]])</f>
        <v>1978</v>
      </c>
    </row>
    <row r="386" spans="9:15" x14ac:dyDescent="0.25">
      <c r="I386" s="14">
        <f>MATCH(J386,J:J,0)</f>
        <v>116</v>
      </c>
      <c r="J386" s="14" t="s">
        <v>76</v>
      </c>
      <c r="M386">
        <f>IF(Tabela1[[#This Row],[Qtd Filhos]]&gt;=8,1,0)</f>
        <v>0</v>
      </c>
      <c r="N386">
        <f>IF(Tabela1[[#This Row],[Idade]]&gt;50,1,0)</f>
        <v>0</v>
      </c>
      <c r="O386">
        <f>YEAR(Tabela1[[#This Row],[Data Nasc.]])</f>
        <v>1980</v>
      </c>
    </row>
    <row r="387" spans="9:15" x14ac:dyDescent="0.25">
      <c r="I387" s="14">
        <f>MATCH(J387,J:J,0)</f>
        <v>68</v>
      </c>
      <c r="J387" s="14" t="s">
        <v>285</v>
      </c>
      <c r="M387">
        <f>IF(Tabela1[[#This Row],[Qtd Filhos]]&gt;=8,1,0)</f>
        <v>0</v>
      </c>
      <c r="N387">
        <f>IF(Tabela1[[#This Row],[Idade]]&gt;50,1,0)</f>
        <v>0</v>
      </c>
      <c r="O387">
        <f>YEAR(Tabela1[[#This Row],[Data Nasc.]])</f>
        <v>1987</v>
      </c>
    </row>
    <row r="388" spans="9:15" x14ac:dyDescent="0.25">
      <c r="I388" s="14">
        <f>MATCH(J388,J:J,0)</f>
        <v>288</v>
      </c>
      <c r="J388" s="14" t="s">
        <v>109</v>
      </c>
      <c r="M388">
        <f>IF(Tabela1[[#This Row],[Qtd Filhos]]&gt;=8,1,0)</f>
        <v>0</v>
      </c>
      <c r="N388">
        <f>IF(Tabela1[[#This Row],[Idade]]&gt;50,1,0)</f>
        <v>0</v>
      </c>
      <c r="O388">
        <f>YEAR(Tabela1[[#This Row],[Data Nasc.]])</f>
        <v>2000</v>
      </c>
    </row>
    <row r="389" spans="9:15" x14ac:dyDescent="0.25">
      <c r="I389" s="14">
        <f>MATCH(J389,J:J,0)</f>
        <v>91</v>
      </c>
      <c r="J389" s="14" t="s">
        <v>248</v>
      </c>
      <c r="M389">
        <f>IF(Tabela1[[#This Row],[Qtd Filhos]]&gt;=8,1,0)</f>
        <v>0</v>
      </c>
      <c r="N389">
        <f>IF(Tabela1[[#This Row],[Idade]]&gt;50,1,0)</f>
        <v>0</v>
      </c>
      <c r="O389">
        <f>YEAR(Tabela1[[#This Row],[Data Nasc.]])</f>
        <v>1998</v>
      </c>
    </row>
    <row r="390" spans="9:15" x14ac:dyDescent="0.25">
      <c r="I390" s="14">
        <f>MATCH(J390,J:J,0)</f>
        <v>41</v>
      </c>
      <c r="J390" s="14" t="s">
        <v>253</v>
      </c>
      <c r="M390">
        <f>IF(Tabela1[[#This Row],[Qtd Filhos]]&gt;=8,1,0)</f>
        <v>0</v>
      </c>
      <c r="N390">
        <f>IF(Tabela1[[#This Row],[Idade]]&gt;50,1,0)</f>
        <v>0</v>
      </c>
      <c r="O390">
        <f>YEAR(Tabela1[[#This Row],[Data Nasc.]])</f>
        <v>1977</v>
      </c>
    </row>
    <row r="391" spans="9:15" x14ac:dyDescent="0.25">
      <c r="I391" s="14">
        <f>MATCH(J391,J:J,0)</f>
        <v>163</v>
      </c>
      <c r="J391" s="14" t="s">
        <v>265</v>
      </c>
      <c r="M391">
        <f>IF(Tabela1[[#This Row],[Qtd Filhos]]&gt;=8,1,0)</f>
        <v>0</v>
      </c>
      <c r="N391">
        <f>IF(Tabela1[[#This Row],[Idade]]&gt;50,1,0)</f>
        <v>0</v>
      </c>
      <c r="O391">
        <f>YEAR(Tabela1[[#This Row],[Data Nasc.]])</f>
        <v>2003</v>
      </c>
    </row>
    <row r="392" spans="9:15" x14ac:dyDescent="0.25">
      <c r="I392" s="14">
        <f>MATCH(J392,J:J,0)</f>
        <v>65</v>
      </c>
      <c r="J392" s="14" t="s">
        <v>64</v>
      </c>
      <c r="M392">
        <f>IF(Tabela1[[#This Row],[Qtd Filhos]]&gt;=8,1,0)</f>
        <v>0</v>
      </c>
      <c r="N392">
        <f>IF(Tabela1[[#This Row],[Idade]]&gt;50,1,0)</f>
        <v>0</v>
      </c>
      <c r="O392">
        <f>YEAR(Tabela1[[#This Row],[Data Nasc.]])</f>
        <v>2007</v>
      </c>
    </row>
    <row r="393" spans="9:15" x14ac:dyDescent="0.25">
      <c r="I393" s="14">
        <f>MATCH(J393,J:J,0)</f>
        <v>238</v>
      </c>
      <c r="J393" s="14" t="s">
        <v>93</v>
      </c>
      <c r="M393">
        <f>IF(Tabela1[[#This Row],[Qtd Filhos]]&gt;=8,1,0)</f>
        <v>0</v>
      </c>
      <c r="N393">
        <f>IF(Tabela1[[#This Row],[Idade]]&gt;50,1,0)</f>
        <v>1</v>
      </c>
      <c r="O393">
        <f>YEAR(Tabela1[[#This Row],[Data Nasc.]])</f>
        <v>1963</v>
      </c>
    </row>
    <row r="394" spans="9:15" x14ac:dyDescent="0.25">
      <c r="I394" s="14">
        <f>MATCH(J394,J:J,0)</f>
        <v>7</v>
      </c>
      <c r="J394" s="14" t="s">
        <v>118</v>
      </c>
      <c r="M394">
        <f>IF(Tabela1[[#This Row],[Qtd Filhos]]&gt;=8,1,0)</f>
        <v>0</v>
      </c>
      <c r="N394">
        <f>IF(Tabela1[[#This Row],[Idade]]&gt;50,1,0)</f>
        <v>0</v>
      </c>
      <c r="O394">
        <f>YEAR(Tabela1[[#This Row],[Data Nasc.]])</f>
        <v>2002</v>
      </c>
    </row>
    <row r="395" spans="9:15" x14ac:dyDescent="0.25">
      <c r="I395" s="14">
        <f>MATCH(J395,J:J,0)</f>
        <v>332</v>
      </c>
      <c r="J395" s="14" t="s">
        <v>291</v>
      </c>
      <c r="M395">
        <f>IF(Tabela1[[#This Row],[Qtd Filhos]]&gt;=8,1,0)</f>
        <v>0</v>
      </c>
      <c r="N395">
        <f>IF(Tabela1[[#This Row],[Idade]]&gt;50,1,0)</f>
        <v>0</v>
      </c>
      <c r="O395">
        <f>YEAR(Tabela1[[#This Row],[Data Nasc.]])</f>
        <v>1979</v>
      </c>
    </row>
    <row r="396" spans="9:15" x14ac:dyDescent="0.25">
      <c r="I396" s="14">
        <f>MATCH(J396,J:J,0)</f>
        <v>49</v>
      </c>
      <c r="J396" s="14" t="s">
        <v>205</v>
      </c>
      <c r="M396">
        <f>IF(Tabela1[[#This Row],[Qtd Filhos]]&gt;=8,1,0)</f>
        <v>0</v>
      </c>
      <c r="N396">
        <f>IF(Tabela1[[#This Row],[Idade]]&gt;50,1,0)</f>
        <v>0</v>
      </c>
      <c r="O396">
        <f>YEAR(Tabela1[[#This Row],[Data Nasc.]])</f>
        <v>1990</v>
      </c>
    </row>
    <row r="397" spans="9:15" x14ac:dyDescent="0.25">
      <c r="I397" s="14">
        <f>MATCH(J397,J:J,0)</f>
        <v>160</v>
      </c>
      <c r="J397" s="14" t="s">
        <v>256</v>
      </c>
      <c r="M397">
        <f>IF(Tabela1[[#This Row],[Qtd Filhos]]&gt;=8,1,0)</f>
        <v>0</v>
      </c>
      <c r="N397">
        <f>IF(Tabela1[[#This Row],[Idade]]&gt;50,1,0)</f>
        <v>0</v>
      </c>
      <c r="O397">
        <f>YEAR(Tabela1[[#This Row],[Data Nasc.]])</f>
        <v>1979</v>
      </c>
    </row>
    <row r="398" spans="9:15" x14ac:dyDescent="0.25">
      <c r="I398" s="14">
        <f>MATCH(J398,J:J,0)</f>
        <v>2</v>
      </c>
      <c r="J398" s="14" t="s">
        <v>56</v>
      </c>
      <c r="M398">
        <f>IF(Tabela1[[#This Row],[Qtd Filhos]]&gt;=8,1,0)</f>
        <v>0</v>
      </c>
      <c r="N398">
        <f>IF(Tabela1[[#This Row],[Idade]]&gt;50,1,0)</f>
        <v>0</v>
      </c>
      <c r="O398">
        <f>YEAR(Tabela1[[#This Row],[Data Nasc.]])</f>
        <v>1980</v>
      </c>
    </row>
    <row r="399" spans="9:15" x14ac:dyDescent="0.25">
      <c r="I399" s="14">
        <f>MATCH(J399,J:J,0)</f>
        <v>158</v>
      </c>
      <c r="J399" s="14" t="s">
        <v>112</v>
      </c>
      <c r="M399">
        <f>IF(Tabela1[[#This Row],[Qtd Filhos]]&gt;=8,1,0)</f>
        <v>0</v>
      </c>
      <c r="N399">
        <f>IF(Tabela1[[#This Row],[Idade]]&gt;50,1,0)</f>
        <v>0</v>
      </c>
      <c r="O399">
        <f>YEAR(Tabela1[[#This Row],[Data Nasc.]])</f>
        <v>1978</v>
      </c>
    </row>
    <row r="400" spans="9:15" x14ac:dyDescent="0.25">
      <c r="I400" s="14">
        <f>MATCH(J400,J:J,0)</f>
        <v>17</v>
      </c>
      <c r="J400" s="14" t="s">
        <v>143</v>
      </c>
      <c r="M400">
        <f>IF(Tabela1[[#This Row],[Qtd Filhos]]&gt;=8,1,0)</f>
        <v>0</v>
      </c>
      <c r="N400">
        <f>IF(Tabela1[[#This Row],[Idade]]&gt;50,1,0)</f>
        <v>0</v>
      </c>
      <c r="O400">
        <f>YEAR(Tabela1[[#This Row],[Data Nasc.]])</f>
        <v>2005</v>
      </c>
    </row>
    <row r="401" spans="9:15" x14ac:dyDescent="0.25">
      <c r="I401" s="14">
        <f>MATCH(J401,J:J,0)</f>
        <v>71</v>
      </c>
      <c r="J401" s="14" t="s">
        <v>134</v>
      </c>
      <c r="M401">
        <f>IF(Tabela1[[#This Row],[Qtd Filhos]]&gt;=8,1,0)</f>
        <v>0</v>
      </c>
      <c r="N401">
        <f>IF(Tabela1[[#This Row],[Idade]]&gt;50,1,0)</f>
        <v>1</v>
      </c>
      <c r="O401">
        <f>YEAR(Tabela1[[#This Row],[Data Nasc.]])</f>
        <v>1962</v>
      </c>
    </row>
    <row r="402" spans="9:15" x14ac:dyDescent="0.25">
      <c r="I402" s="14">
        <f>MATCH(J402,J:J,0)</f>
        <v>149</v>
      </c>
      <c r="J402" s="14" t="s">
        <v>162</v>
      </c>
      <c r="M402">
        <f>IF(Tabela1[[#This Row],[Qtd Filhos]]&gt;=8,1,0)</f>
        <v>0</v>
      </c>
      <c r="N402">
        <f>IF(Tabela1[[#This Row],[Idade]]&gt;50,1,0)</f>
        <v>0</v>
      </c>
      <c r="O402">
        <f>YEAR(Tabela1[[#This Row],[Data Nasc.]])</f>
        <v>1982</v>
      </c>
    </row>
    <row r="403" spans="9:15" x14ac:dyDescent="0.25">
      <c r="I403" s="14">
        <f>MATCH(J403,J:J,0)</f>
        <v>2</v>
      </c>
      <c r="J403" s="14" t="s">
        <v>56</v>
      </c>
      <c r="M403">
        <f>IF(Tabela1[[#This Row],[Qtd Filhos]]&gt;=8,1,0)</f>
        <v>0</v>
      </c>
      <c r="N403">
        <f>IF(Tabela1[[#This Row],[Idade]]&gt;50,1,0)</f>
        <v>0</v>
      </c>
      <c r="O403">
        <f>YEAR(Tabela1[[#This Row],[Data Nasc.]])</f>
        <v>1976</v>
      </c>
    </row>
    <row r="404" spans="9:15" x14ac:dyDescent="0.25">
      <c r="I404" s="14">
        <f>MATCH(J404,J:J,0)</f>
        <v>56</v>
      </c>
      <c r="J404" s="14" t="s">
        <v>18</v>
      </c>
      <c r="M404">
        <f>IF(Tabela1[[#This Row],[Qtd Filhos]]&gt;=8,1,0)</f>
        <v>0</v>
      </c>
      <c r="N404">
        <f>IF(Tabela1[[#This Row],[Idade]]&gt;50,1,0)</f>
        <v>0</v>
      </c>
      <c r="O404">
        <f>YEAR(Tabela1[[#This Row],[Data Nasc.]])</f>
        <v>1979</v>
      </c>
    </row>
    <row r="405" spans="9:15" x14ac:dyDescent="0.25">
      <c r="I405" s="14">
        <f>MATCH(J405,J:J,0)</f>
        <v>87</v>
      </c>
      <c r="J405" s="14" t="s">
        <v>95</v>
      </c>
      <c r="M405">
        <f>IF(Tabela1[[#This Row],[Qtd Filhos]]&gt;=8,1,0)</f>
        <v>0</v>
      </c>
      <c r="N405">
        <f>IF(Tabela1[[#This Row],[Idade]]&gt;50,1,0)</f>
        <v>0</v>
      </c>
      <c r="O405">
        <f>YEAR(Tabela1[[#This Row],[Data Nasc.]])</f>
        <v>1996</v>
      </c>
    </row>
    <row r="406" spans="9:15" x14ac:dyDescent="0.25">
      <c r="I406" s="14">
        <f>MATCH(J406,J:J,0)</f>
        <v>278</v>
      </c>
      <c r="J406" s="14" t="s">
        <v>267</v>
      </c>
      <c r="M406">
        <f>IF(Tabela1[[#This Row],[Qtd Filhos]]&gt;=8,1,0)</f>
        <v>0</v>
      </c>
      <c r="N406">
        <f>IF(Tabela1[[#This Row],[Idade]]&gt;50,1,0)</f>
        <v>0</v>
      </c>
      <c r="O406">
        <f>YEAR(Tabela1[[#This Row],[Data Nasc.]])</f>
        <v>2005</v>
      </c>
    </row>
    <row r="407" spans="9:15" x14ac:dyDescent="0.25">
      <c r="I407" s="14">
        <f>MATCH(J407,J:J,0)</f>
        <v>41</v>
      </c>
      <c r="J407" s="14" t="s">
        <v>253</v>
      </c>
      <c r="M407">
        <f>IF(Tabela1[[#This Row],[Qtd Filhos]]&gt;=8,1,0)</f>
        <v>0</v>
      </c>
      <c r="N407">
        <f>IF(Tabela1[[#This Row],[Idade]]&gt;50,1,0)</f>
        <v>0</v>
      </c>
      <c r="O407">
        <f>YEAR(Tabela1[[#This Row],[Data Nasc.]])</f>
        <v>1997</v>
      </c>
    </row>
    <row r="408" spans="9:15" x14ac:dyDescent="0.25">
      <c r="I408" s="14">
        <f>MATCH(J408,J:J,0)</f>
        <v>124</v>
      </c>
      <c r="J408" s="14" t="s">
        <v>199</v>
      </c>
      <c r="M408">
        <f>IF(Tabela1[[#This Row],[Qtd Filhos]]&gt;=8,1,0)</f>
        <v>1</v>
      </c>
      <c r="N408">
        <f>IF(Tabela1[[#This Row],[Idade]]&gt;50,1,0)</f>
        <v>1</v>
      </c>
      <c r="O408">
        <f>YEAR(Tabela1[[#This Row],[Data Nasc.]])</f>
        <v>1961</v>
      </c>
    </row>
    <row r="409" spans="9:15" x14ac:dyDescent="0.25">
      <c r="I409" s="14">
        <f>MATCH(J409,J:J,0)</f>
        <v>91</v>
      </c>
      <c r="J409" s="14" t="s">
        <v>248</v>
      </c>
      <c r="M409">
        <f>IF(Tabela1[[#This Row],[Qtd Filhos]]&gt;=8,1,0)</f>
        <v>0</v>
      </c>
      <c r="N409">
        <f>IF(Tabela1[[#This Row],[Idade]]&gt;50,1,0)</f>
        <v>1</v>
      </c>
      <c r="O409">
        <f>YEAR(Tabela1[[#This Row],[Data Nasc.]])</f>
        <v>1964</v>
      </c>
    </row>
    <row r="410" spans="9:15" x14ac:dyDescent="0.25">
      <c r="I410" s="14">
        <f>MATCH(J410,J:J,0)</f>
        <v>15</v>
      </c>
      <c r="J410" s="14" t="s">
        <v>31</v>
      </c>
      <c r="M410">
        <f>IF(Tabela1[[#This Row],[Qtd Filhos]]&gt;=8,1,0)</f>
        <v>0</v>
      </c>
      <c r="N410">
        <f>IF(Tabela1[[#This Row],[Idade]]&gt;50,1,0)</f>
        <v>1</v>
      </c>
      <c r="O410">
        <f>YEAR(Tabela1[[#This Row],[Data Nasc.]])</f>
        <v>1969</v>
      </c>
    </row>
    <row r="411" spans="9:15" x14ac:dyDescent="0.25">
      <c r="I411" s="14">
        <f>MATCH(J411,J:J,0)</f>
        <v>143</v>
      </c>
      <c r="J411" s="14" t="s">
        <v>233</v>
      </c>
      <c r="M411">
        <f>IF(Tabela1[[#This Row],[Qtd Filhos]]&gt;=8,1,0)</f>
        <v>0</v>
      </c>
      <c r="N411">
        <f>IF(Tabela1[[#This Row],[Idade]]&gt;50,1,0)</f>
        <v>0</v>
      </c>
      <c r="O411">
        <f>YEAR(Tabela1[[#This Row],[Data Nasc.]])</f>
        <v>2003</v>
      </c>
    </row>
    <row r="412" spans="9:15" x14ac:dyDescent="0.25">
      <c r="I412" s="14">
        <f>MATCH(J412,J:J,0)</f>
        <v>41</v>
      </c>
      <c r="J412" s="14" t="s">
        <v>253</v>
      </c>
      <c r="M412">
        <f>IF(Tabela1[[#This Row],[Qtd Filhos]]&gt;=8,1,0)</f>
        <v>0</v>
      </c>
      <c r="N412">
        <f>IF(Tabela1[[#This Row],[Idade]]&gt;50,1,0)</f>
        <v>1</v>
      </c>
      <c r="O412">
        <f>YEAR(Tabela1[[#This Row],[Data Nasc.]])</f>
        <v>1975</v>
      </c>
    </row>
    <row r="413" spans="9:15" x14ac:dyDescent="0.25">
      <c r="I413" s="14">
        <f>MATCH(J413,J:J,0)</f>
        <v>41</v>
      </c>
      <c r="J413" s="14" t="s">
        <v>253</v>
      </c>
      <c r="M413">
        <f>IF(Tabela1[[#This Row],[Qtd Filhos]]&gt;=8,1,0)</f>
        <v>0</v>
      </c>
      <c r="N413">
        <f>IF(Tabela1[[#This Row],[Idade]]&gt;50,1,0)</f>
        <v>0</v>
      </c>
      <c r="O413">
        <f>YEAR(Tabela1[[#This Row],[Data Nasc.]])</f>
        <v>1980</v>
      </c>
    </row>
    <row r="414" spans="9:15" x14ac:dyDescent="0.25">
      <c r="I414" s="14">
        <f>MATCH(J414,J:J,0)</f>
        <v>23</v>
      </c>
      <c r="J414" s="14" t="s">
        <v>283</v>
      </c>
      <c r="M414">
        <f>IF(Tabela1[[#This Row],[Qtd Filhos]]&gt;=8,1,0)</f>
        <v>0</v>
      </c>
      <c r="N414">
        <f>IF(Tabela1[[#This Row],[Idade]]&gt;50,1,0)</f>
        <v>0</v>
      </c>
      <c r="O414">
        <f>YEAR(Tabela1[[#This Row],[Data Nasc.]])</f>
        <v>1998</v>
      </c>
    </row>
    <row r="415" spans="9:15" x14ac:dyDescent="0.25">
      <c r="I415" s="14">
        <f>MATCH(J415,J:J,0)</f>
        <v>28</v>
      </c>
      <c r="J415" s="14" t="s">
        <v>211</v>
      </c>
      <c r="M415">
        <f>IF(Tabela1[[#This Row],[Qtd Filhos]]&gt;=8,1,0)</f>
        <v>0</v>
      </c>
      <c r="N415">
        <f>IF(Tabela1[[#This Row],[Idade]]&gt;50,1,0)</f>
        <v>0</v>
      </c>
      <c r="O415">
        <f>YEAR(Tabela1[[#This Row],[Data Nasc.]])</f>
        <v>1991</v>
      </c>
    </row>
    <row r="416" spans="9:15" x14ac:dyDescent="0.25">
      <c r="I416" s="14">
        <f>MATCH(J416,J:J,0)</f>
        <v>5</v>
      </c>
      <c r="J416" s="14" t="s">
        <v>171</v>
      </c>
      <c r="M416">
        <f>IF(Tabela1[[#This Row],[Qtd Filhos]]&gt;=8,1,0)</f>
        <v>0</v>
      </c>
      <c r="N416">
        <f>IF(Tabela1[[#This Row],[Idade]]&gt;50,1,0)</f>
        <v>0</v>
      </c>
      <c r="O416">
        <f>YEAR(Tabela1[[#This Row],[Data Nasc.]])</f>
        <v>2007</v>
      </c>
    </row>
    <row r="417" spans="9:15" x14ac:dyDescent="0.25">
      <c r="I417" s="14">
        <f>MATCH(J417,J:J,0)</f>
        <v>230</v>
      </c>
      <c r="J417" s="14" t="s">
        <v>216</v>
      </c>
      <c r="M417">
        <f>IF(Tabela1[[#This Row],[Qtd Filhos]]&gt;=8,1,0)</f>
        <v>0</v>
      </c>
      <c r="N417">
        <f>IF(Tabela1[[#This Row],[Idade]]&gt;50,1,0)</f>
        <v>0</v>
      </c>
      <c r="O417">
        <f>YEAR(Tabela1[[#This Row],[Data Nasc.]])</f>
        <v>1995</v>
      </c>
    </row>
    <row r="418" spans="9:15" x14ac:dyDescent="0.25">
      <c r="I418" s="14">
        <f>MATCH(J418,J:J,0)</f>
        <v>71</v>
      </c>
      <c r="J418" s="14" t="s">
        <v>134</v>
      </c>
      <c r="M418">
        <f>IF(Tabela1[[#This Row],[Qtd Filhos]]&gt;=8,1,0)</f>
        <v>0</v>
      </c>
      <c r="N418">
        <f>IF(Tabela1[[#This Row],[Idade]]&gt;50,1,0)</f>
        <v>0</v>
      </c>
      <c r="O418">
        <f>YEAR(Tabela1[[#This Row],[Data Nasc.]])</f>
        <v>2006</v>
      </c>
    </row>
    <row r="419" spans="9:15" x14ac:dyDescent="0.25">
      <c r="I419" s="14">
        <f>MATCH(J419,J:J,0)</f>
        <v>91</v>
      </c>
      <c r="J419" s="14" t="s">
        <v>248</v>
      </c>
      <c r="M419">
        <f>IF(Tabela1[[#This Row],[Qtd Filhos]]&gt;=8,1,0)</f>
        <v>0</v>
      </c>
      <c r="N419">
        <f>IF(Tabela1[[#This Row],[Idade]]&gt;50,1,0)</f>
        <v>1</v>
      </c>
      <c r="O419">
        <f>YEAR(Tabela1[[#This Row],[Data Nasc.]])</f>
        <v>1974</v>
      </c>
    </row>
    <row r="420" spans="9:15" x14ac:dyDescent="0.25">
      <c r="I420" s="14">
        <f>MATCH(J420,J:J,0)</f>
        <v>85</v>
      </c>
      <c r="J420" s="14" t="s">
        <v>101</v>
      </c>
      <c r="M420">
        <f>IF(Tabela1[[#This Row],[Qtd Filhos]]&gt;=8,1,0)</f>
        <v>0</v>
      </c>
      <c r="N420">
        <f>IF(Tabela1[[#This Row],[Idade]]&gt;50,1,0)</f>
        <v>0</v>
      </c>
      <c r="O420">
        <f>YEAR(Tabela1[[#This Row],[Data Nasc.]])</f>
        <v>1981</v>
      </c>
    </row>
    <row r="421" spans="9:15" x14ac:dyDescent="0.25">
      <c r="I421" s="14">
        <f>MATCH(J421,J:J,0)</f>
        <v>202</v>
      </c>
      <c r="J421" s="14" t="s">
        <v>218</v>
      </c>
      <c r="M421">
        <f>IF(Tabela1[[#This Row],[Qtd Filhos]]&gt;=8,1,0)</f>
        <v>0</v>
      </c>
      <c r="N421">
        <f>IF(Tabela1[[#This Row],[Idade]]&gt;50,1,0)</f>
        <v>0</v>
      </c>
      <c r="O421">
        <f>YEAR(Tabela1[[#This Row],[Data Nasc.]])</f>
        <v>1985</v>
      </c>
    </row>
    <row r="422" spans="9:15" x14ac:dyDescent="0.25">
      <c r="I422" s="14">
        <f>MATCH(J422,J:J,0)</f>
        <v>278</v>
      </c>
      <c r="J422" s="14" t="s">
        <v>267</v>
      </c>
      <c r="M422">
        <f>IF(Tabela1[[#This Row],[Qtd Filhos]]&gt;=8,1,0)</f>
        <v>0</v>
      </c>
      <c r="N422">
        <f>IF(Tabela1[[#This Row],[Idade]]&gt;50,1,0)</f>
        <v>1</v>
      </c>
      <c r="O422">
        <f>YEAR(Tabela1[[#This Row],[Data Nasc.]])</f>
        <v>1968</v>
      </c>
    </row>
    <row r="423" spans="9:15" x14ac:dyDescent="0.25">
      <c r="I423" s="14">
        <f>MATCH(J423,J:J,0)</f>
        <v>68</v>
      </c>
      <c r="J423" s="14" t="s">
        <v>285</v>
      </c>
      <c r="M423">
        <f>IF(Tabela1[[#This Row],[Qtd Filhos]]&gt;=8,1,0)</f>
        <v>0</v>
      </c>
      <c r="N423">
        <f>IF(Tabela1[[#This Row],[Idade]]&gt;50,1,0)</f>
        <v>0</v>
      </c>
      <c r="O423">
        <f>YEAR(Tabela1[[#This Row],[Data Nasc.]])</f>
        <v>1994</v>
      </c>
    </row>
    <row r="424" spans="9:15" x14ac:dyDescent="0.25">
      <c r="I424" s="14">
        <f>MATCH(J424,J:J,0)</f>
        <v>129</v>
      </c>
      <c r="J424" s="14" t="s">
        <v>156</v>
      </c>
      <c r="M424">
        <f>IF(Tabela1[[#This Row],[Qtd Filhos]]&gt;=8,1,0)</f>
        <v>0</v>
      </c>
      <c r="N424">
        <f>IF(Tabela1[[#This Row],[Idade]]&gt;50,1,0)</f>
        <v>0</v>
      </c>
      <c r="O424">
        <f>YEAR(Tabela1[[#This Row],[Data Nasc.]])</f>
        <v>2008</v>
      </c>
    </row>
    <row r="425" spans="9:15" x14ac:dyDescent="0.25">
      <c r="I425" s="14">
        <f>MATCH(J425,J:J,0)</f>
        <v>43</v>
      </c>
      <c r="J425" s="14" t="s">
        <v>154</v>
      </c>
      <c r="M425">
        <f>IF(Tabela1[[#This Row],[Qtd Filhos]]&gt;=8,1,0)</f>
        <v>0</v>
      </c>
      <c r="N425">
        <f>IF(Tabela1[[#This Row],[Idade]]&gt;50,1,0)</f>
        <v>0</v>
      </c>
      <c r="O425">
        <f>YEAR(Tabela1[[#This Row],[Data Nasc.]])</f>
        <v>1989</v>
      </c>
    </row>
    <row r="426" spans="9:15" x14ac:dyDescent="0.25">
      <c r="I426" s="14">
        <f>MATCH(J426,J:J,0)</f>
        <v>104</v>
      </c>
      <c r="J426" s="14" t="s">
        <v>231</v>
      </c>
      <c r="M426">
        <f>IF(Tabela1[[#This Row],[Qtd Filhos]]&gt;=8,1,0)</f>
        <v>0</v>
      </c>
      <c r="N426">
        <f>IF(Tabela1[[#This Row],[Idade]]&gt;50,1,0)</f>
        <v>1</v>
      </c>
      <c r="O426">
        <f>YEAR(Tabela1[[#This Row],[Data Nasc.]])</f>
        <v>1973</v>
      </c>
    </row>
    <row r="427" spans="9:15" x14ac:dyDescent="0.25">
      <c r="I427" s="14">
        <f>MATCH(J427,J:J,0)</f>
        <v>49</v>
      </c>
      <c r="J427" s="14" t="s">
        <v>205</v>
      </c>
      <c r="M427">
        <f>IF(Tabela1[[#This Row],[Qtd Filhos]]&gt;=8,1,0)</f>
        <v>0</v>
      </c>
      <c r="N427">
        <f>IF(Tabela1[[#This Row],[Idade]]&gt;50,1,0)</f>
        <v>0</v>
      </c>
      <c r="O427">
        <f>YEAR(Tabela1[[#This Row],[Data Nasc.]])</f>
        <v>1990</v>
      </c>
    </row>
    <row r="428" spans="9:15" x14ac:dyDescent="0.25">
      <c r="I428" s="14">
        <f>MATCH(J428,J:J,0)</f>
        <v>43</v>
      </c>
      <c r="J428" s="14" t="s">
        <v>154</v>
      </c>
      <c r="M428">
        <f>IF(Tabela1[[#This Row],[Qtd Filhos]]&gt;=8,1,0)</f>
        <v>0</v>
      </c>
      <c r="N428">
        <f>IF(Tabela1[[#This Row],[Idade]]&gt;50,1,0)</f>
        <v>0</v>
      </c>
      <c r="O428">
        <f>YEAR(Tabela1[[#This Row],[Data Nasc.]])</f>
        <v>1983</v>
      </c>
    </row>
    <row r="429" spans="9:15" x14ac:dyDescent="0.25">
      <c r="I429" s="14">
        <f>MATCH(J429,J:J,0)</f>
        <v>212</v>
      </c>
      <c r="J429" s="14" t="s">
        <v>201</v>
      </c>
      <c r="M429">
        <f>IF(Tabela1[[#This Row],[Qtd Filhos]]&gt;=8,1,0)</f>
        <v>0</v>
      </c>
      <c r="N429">
        <f>IF(Tabela1[[#This Row],[Idade]]&gt;50,1,0)</f>
        <v>0</v>
      </c>
      <c r="O429">
        <f>YEAR(Tabela1[[#This Row],[Data Nasc.]])</f>
        <v>2003</v>
      </c>
    </row>
    <row r="430" spans="9:15" x14ac:dyDescent="0.25">
      <c r="I430" s="14">
        <f>MATCH(J430,J:J,0)</f>
        <v>10</v>
      </c>
      <c r="J430" s="14" t="s">
        <v>152</v>
      </c>
      <c r="M430">
        <f>IF(Tabela1[[#This Row],[Qtd Filhos]]&gt;=8,1,0)</f>
        <v>0</v>
      </c>
      <c r="N430">
        <f>IF(Tabela1[[#This Row],[Idade]]&gt;50,1,0)</f>
        <v>1</v>
      </c>
      <c r="O430">
        <f>YEAR(Tabela1[[#This Row],[Data Nasc.]])</f>
        <v>1964</v>
      </c>
    </row>
    <row r="431" spans="9:15" x14ac:dyDescent="0.25">
      <c r="I431" s="14">
        <f>MATCH(J431,J:J,0)</f>
        <v>260</v>
      </c>
      <c r="J431" s="14" t="s">
        <v>182</v>
      </c>
      <c r="M431">
        <f>IF(Tabela1[[#This Row],[Qtd Filhos]]&gt;=8,1,0)</f>
        <v>1</v>
      </c>
      <c r="N431">
        <f>IF(Tabela1[[#This Row],[Idade]]&gt;50,1,0)</f>
        <v>0</v>
      </c>
      <c r="O431">
        <f>YEAR(Tabela1[[#This Row],[Data Nasc.]])</f>
        <v>2007</v>
      </c>
    </row>
    <row r="432" spans="9:15" x14ac:dyDescent="0.25">
      <c r="I432" s="14">
        <f>MATCH(J432,J:J,0)</f>
        <v>33</v>
      </c>
      <c r="J432" s="14" t="s">
        <v>263</v>
      </c>
      <c r="M432">
        <f>IF(Tabela1[[#This Row],[Qtd Filhos]]&gt;=8,1,0)</f>
        <v>0</v>
      </c>
      <c r="N432">
        <f>IF(Tabela1[[#This Row],[Idade]]&gt;50,1,0)</f>
        <v>0</v>
      </c>
      <c r="O432">
        <f>YEAR(Tabela1[[#This Row],[Data Nasc.]])</f>
        <v>1977</v>
      </c>
    </row>
    <row r="433" spans="9:15" x14ac:dyDescent="0.25">
      <c r="I433" s="14">
        <f>MATCH(J433,J:J,0)</f>
        <v>149</v>
      </c>
      <c r="J433" s="14" t="s">
        <v>162</v>
      </c>
      <c r="M433">
        <f>IF(Tabela1[[#This Row],[Qtd Filhos]]&gt;=8,1,0)</f>
        <v>0</v>
      </c>
      <c r="N433">
        <f>IF(Tabela1[[#This Row],[Idade]]&gt;50,1,0)</f>
        <v>1</v>
      </c>
      <c r="O433">
        <f>YEAR(Tabela1[[#This Row],[Data Nasc.]])</f>
        <v>1964</v>
      </c>
    </row>
    <row r="434" spans="9:15" x14ac:dyDescent="0.25">
      <c r="I434" s="14">
        <f>MATCH(J434,J:J,0)</f>
        <v>50</v>
      </c>
      <c r="J434" s="14" t="s">
        <v>37</v>
      </c>
      <c r="M434">
        <f>IF(Tabela1[[#This Row],[Qtd Filhos]]&gt;=8,1,0)</f>
        <v>0</v>
      </c>
      <c r="N434">
        <f>IF(Tabela1[[#This Row],[Idade]]&gt;50,1,0)</f>
        <v>0</v>
      </c>
      <c r="O434">
        <f>YEAR(Tabela1[[#This Row],[Data Nasc.]])</f>
        <v>1998</v>
      </c>
    </row>
    <row r="435" spans="9:15" x14ac:dyDescent="0.25">
      <c r="I435" s="14">
        <f>MATCH(J435,J:J,0)</f>
        <v>202</v>
      </c>
      <c r="J435" s="14" t="s">
        <v>218</v>
      </c>
      <c r="M435">
        <f>IF(Tabela1[[#This Row],[Qtd Filhos]]&gt;=8,1,0)</f>
        <v>0</v>
      </c>
      <c r="N435">
        <f>IF(Tabela1[[#This Row],[Idade]]&gt;50,1,0)</f>
        <v>0</v>
      </c>
      <c r="O435">
        <f>YEAR(Tabela1[[#This Row],[Data Nasc.]])</f>
        <v>1983</v>
      </c>
    </row>
    <row r="436" spans="9:15" x14ac:dyDescent="0.25">
      <c r="I436" s="14">
        <f>MATCH(J436,J:J,0)</f>
        <v>131</v>
      </c>
      <c r="J436" s="14" t="s">
        <v>259</v>
      </c>
      <c r="M436">
        <f>IF(Tabela1[[#This Row],[Qtd Filhos]]&gt;=8,1,0)</f>
        <v>0</v>
      </c>
      <c r="N436">
        <f>IF(Tabela1[[#This Row],[Idade]]&gt;50,1,0)</f>
        <v>0</v>
      </c>
      <c r="O436">
        <f>YEAR(Tabela1[[#This Row],[Data Nasc.]])</f>
        <v>1980</v>
      </c>
    </row>
    <row r="437" spans="9:15" x14ac:dyDescent="0.25">
      <c r="I437" s="14">
        <f>MATCH(J437,J:J,0)</f>
        <v>49</v>
      </c>
      <c r="J437" s="14" t="s">
        <v>205</v>
      </c>
      <c r="M437">
        <f>IF(Tabela1[[#This Row],[Qtd Filhos]]&gt;=8,1,0)</f>
        <v>0</v>
      </c>
      <c r="N437">
        <f>IF(Tabela1[[#This Row],[Idade]]&gt;50,1,0)</f>
        <v>1</v>
      </c>
      <c r="O437">
        <f>YEAR(Tabela1[[#This Row],[Data Nasc.]])</f>
        <v>1974</v>
      </c>
    </row>
    <row r="438" spans="9:15" x14ac:dyDescent="0.25">
      <c r="I438" s="14">
        <f>MATCH(J438,J:J,0)</f>
        <v>85</v>
      </c>
      <c r="J438" s="14" t="s">
        <v>101</v>
      </c>
      <c r="M438">
        <f>IF(Tabela1[[#This Row],[Qtd Filhos]]&gt;=8,1,0)</f>
        <v>0</v>
      </c>
      <c r="N438">
        <f>IF(Tabela1[[#This Row],[Idade]]&gt;50,1,0)</f>
        <v>0</v>
      </c>
      <c r="O438">
        <f>YEAR(Tabela1[[#This Row],[Data Nasc.]])</f>
        <v>1994</v>
      </c>
    </row>
    <row r="439" spans="9:15" x14ac:dyDescent="0.25">
      <c r="I439" s="14">
        <f>MATCH(J439,J:J,0)</f>
        <v>100</v>
      </c>
      <c r="J439" s="14" t="s">
        <v>238</v>
      </c>
      <c r="M439">
        <f>IF(Tabela1[[#This Row],[Qtd Filhos]]&gt;=8,1,0)</f>
        <v>0</v>
      </c>
      <c r="N439">
        <f>IF(Tabela1[[#This Row],[Idade]]&gt;50,1,0)</f>
        <v>1</v>
      </c>
      <c r="O439">
        <f>YEAR(Tabela1[[#This Row],[Data Nasc.]])</f>
        <v>1970</v>
      </c>
    </row>
    <row r="440" spans="9:15" x14ac:dyDescent="0.25">
      <c r="I440" s="14">
        <f>MATCH(J440,J:J,0)</f>
        <v>57</v>
      </c>
      <c r="J440" s="14" t="s">
        <v>195</v>
      </c>
      <c r="M440">
        <f>IF(Tabela1[[#This Row],[Qtd Filhos]]&gt;=8,1,0)</f>
        <v>0</v>
      </c>
      <c r="N440">
        <f>IF(Tabela1[[#This Row],[Idade]]&gt;50,1,0)</f>
        <v>0</v>
      </c>
      <c r="O440">
        <f>YEAR(Tabela1[[#This Row],[Data Nasc.]])</f>
        <v>1980</v>
      </c>
    </row>
    <row r="441" spans="9:15" x14ac:dyDescent="0.25">
      <c r="I441" s="14">
        <f>MATCH(J441,J:J,0)</f>
        <v>26</v>
      </c>
      <c r="J441" s="14" t="s">
        <v>287</v>
      </c>
      <c r="M441">
        <f>IF(Tabela1[[#This Row],[Qtd Filhos]]&gt;=8,1,0)</f>
        <v>0</v>
      </c>
      <c r="N441">
        <f>IF(Tabela1[[#This Row],[Idade]]&gt;50,1,0)</f>
        <v>0</v>
      </c>
      <c r="O441">
        <f>YEAR(Tabela1[[#This Row],[Data Nasc.]])</f>
        <v>1981</v>
      </c>
    </row>
    <row r="442" spans="9:15" x14ac:dyDescent="0.25">
      <c r="I442" s="14">
        <f>MATCH(J442,J:J,0)</f>
        <v>10</v>
      </c>
      <c r="J442" s="14" t="s">
        <v>152</v>
      </c>
      <c r="M442">
        <f>IF(Tabela1[[#This Row],[Qtd Filhos]]&gt;=8,1,0)</f>
        <v>0</v>
      </c>
      <c r="N442">
        <f>IF(Tabela1[[#This Row],[Idade]]&gt;50,1,0)</f>
        <v>0</v>
      </c>
      <c r="O442">
        <f>YEAR(Tabela1[[#This Row],[Data Nasc.]])</f>
        <v>2005</v>
      </c>
    </row>
    <row r="443" spans="9:15" x14ac:dyDescent="0.25">
      <c r="I443" s="14">
        <f>MATCH(J443,J:J,0)</f>
        <v>71</v>
      </c>
      <c r="J443" s="14" t="s">
        <v>134</v>
      </c>
      <c r="M443">
        <f>IF(Tabela1[[#This Row],[Qtd Filhos]]&gt;=8,1,0)</f>
        <v>0</v>
      </c>
      <c r="N443">
        <f>IF(Tabela1[[#This Row],[Idade]]&gt;50,1,0)</f>
        <v>0</v>
      </c>
      <c r="O443">
        <f>YEAR(Tabela1[[#This Row],[Data Nasc.]])</f>
        <v>1976</v>
      </c>
    </row>
    <row r="444" spans="9:15" x14ac:dyDescent="0.25">
      <c r="I444" s="14">
        <f>MATCH(J444,J:J,0)</f>
        <v>153</v>
      </c>
      <c r="J444" s="14" t="s">
        <v>277</v>
      </c>
      <c r="M444">
        <f>IF(Tabela1[[#This Row],[Qtd Filhos]]&gt;=8,1,0)</f>
        <v>0</v>
      </c>
      <c r="N444">
        <f>IF(Tabela1[[#This Row],[Idade]]&gt;50,1,0)</f>
        <v>0</v>
      </c>
      <c r="O444">
        <f>YEAR(Tabela1[[#This Row],[Data Nasc.]])</f>
        <v>1984</v>
      </c>
    </row>
    <row r="445" spans="9:15" x14ac:dyDescent="0.25">
      <c r="I445" s="14">
        <f>MATCH(J445,J:J,0)</f>
        <v>75</v>
      </c>
      <c r="J445" s="14" t="s">
        <v>70</v>
      </c>
      <c r="M445">
        <f>IF(Tabela1[[#This Row],[Qtd Filhos]]&gt;=8,1,0)</f>
        <v>0</v>
      </c>
      <c r="N445">
        <f>IF(Tabela1[[#This Row],[Idade]]&gt;50,1,0)</f>
        <v>1</v>
      </c>
      <c r="O445">
        <f>YEAR(Tabela1[[#This Row],[Data Nasc.]])</f>
        <v>1967</v>
      </c>
    </row>
    <row r="446" spans="9:15" x14ac:dyDescent="0.25">
      <c r="I446" s="14">
        <f>MATCH(J446,J:J,0)</f>
        <v>317</v>
      </c>
      <c r="J446" s="14" t="s">
        <v>242</v>
      </c>
      <c r="M446">
        <f>IF(Tabela1[[#This Row],[Qtd Filhos]]&gt;=8,1,0)</f>
        <v>0</v>
      </c>
      <c r="N446">
        <f>IF(Tabela1[[#This Row],[Idade]]&gt;50,1,0)</f>
        <v>1</v>
      </c>
      <c r="O446">
        <f>YEAR(Tabela1[[#This Row],[Data Nasc.]])</f>
        <v>1963</v>
      </c>
    </row>
    <row r="447" spans="9:15" x14ac:dyDescent="0.25">
      <c r="I447" s="14">
        <f>MATCH(J447,J:J,0)</f>
        <v>7</v>
      </c>
      <c r="J447" s="14" t="s">
        <v>118</v>
      </c>
      <c r="M447">
        <f>IF(Tabela1[[#This Row],[Qtd Filhos]]&gt;=8,1,0)</f>
        <v>0</v>
      </c>
      <c r="N447">
        <f>IF(Tabela1[[#This Row],[Idade]]&gt;50,1,0)</f>
        <v>1</v>
      </c>
      <c r="O447">
        <f>YEAR(Tabela1[[#This Row],[Data Nasc.]])</f>
        <v>1968</v>
      </c>
    </row>
    <row r="448" spans="9:15" x14ac:dyDescent="0.25">
      <c r="I448" s="14">
        <f>MATCH(J448,J:J,0)</f>
        <v>17</v>
      </c>
      <c r="J448" s="14" t="s">
        <v>143</v>
      </c>
      <c r="M448">
        <f>IF(Tabela1[[#This Row],[Qtd Filhos]]&gt;=8,1,0)</f>
        <v>0</v>
      </c>
      <c r="N448">
        <f>IF(Tabela1[[#This Row],[Idade]]&gt;50,1,0)</f>
        <v>0</v>
      </c>
      <c r="O448">
        <f>YEAR(Tabela1[[#This Row],[Data Nasc.]])</f>
        <v>2004</v>
      </c>
    </row>
    <row r="449" spans="9:15" x14ac:dyDescent="0.25">
      <c r="I449" s="14">
        <f>MATCH(J449,J:J,0)</f>
        <v>332</v>
      </c>
      <c r="J449" s="14" t="s">
        <v>291</v>
      </c>
      <c r="M449">
        <f>IF(Tabela1[[#This Row],[Qtd Filhos]]&gt;=8,1,0)</f>
        <v>0</v>
      </c>
      <c r="N449">
        <f>IF(Tabela1[[#This Row],[Idade]]&gt;50,1,0)</f>
        <v>1</v>
      </c>
      <c r="O449">
        <f>YEAR(Tabela1[[#This Row],[Data Nasc.]])</f>
        <v>1963</v>
      </c>
    </row>
    <row r="450" spans="9:15" x14ac:dyDescent="0.25">
      <c r="I450" s="14">
        <f>MATCH(J450,J:J,0)</f>
        <v>17</v>
      </c>
      <c r="J450" s="14" t="s">
        <v>143</v>
      </c>
      <c r="M450">
        <f>IF(Tabela1[[#This Row],[Qtd Filhos]]&gt;=8,1,0)</f>
        <v>0</v>
      </c>
      <c r="N450">
        <f>IF(Tabela1[[#This Row],[Idade]]&gt;50,1,0)</f>
        <v>0</v>
      </c>
      <c r="O450">
        <f>YEAR(Tabela1[[#This Row],[Data Nasc.]])</f>
        <v>1991</v>
      </c>
    </row>
    <row r="451" spans="9:15" x14ac:dyDescent="0.25">
      <c r="I451" s="14">
        <f>MATCH(J451,J:J,0)</f>
        <v>18</v>
      </c>
      <c r="J451" s="14" t="s">
        <v>42</v>
      </c>
      <c r="M451">
        <f>IF(Tabela1[[#This Row],[Qtd Filhos]]&gt;=8,1,0)</f>
        <v>0</v>
      </c>
      <c r="N451">
        <f>IF(Tabela1[[#This Row],[Idade]]&gt;50,1,0)</f>
        <v>1</v>
      </c>
      <c r="O451">
        <f>YEAR(Tabela1[[#This Row],[Data Nasc.]])</f>
        <v>1974</v>
      </c>
    </row>
    <row r="452" spans="9:15" x14ac:dyDescent="0.25">
      <c r="I452" s="14">
        <f>MATCH(J452,J:J,0)</f>
        <v>86</v>
      </c>
      <c r="J452" s="14" t="s">
        <v>128</v>
      </c>
      <c r="M452">
        <f>IF(Tabela1[[#This Row],[Qtd Filhos]]&gt;=8,1,0)</f>
        <v>0</v>
      </c>
      <c r="N452">
        <f>IF(Tabela1[[#This Row],[Idade]]&gt;50,1,0)</f>
        <v>0</v>
      </c>
      <c r="O452">
        <f>YEAR(Tabela1[[#This Row],[Data Nasc.]])</f>
        <v>1976</v>
      </c>
    </row>
    <row r="453" spans="9:15" x14ac:dyDescent="0.25">
      <c r="I453" s="14">
        <f>MATCH(J453,J:J,0)</f>
        <v>58</v>
      </c>
      <c r="J453" s="14" t="s">
        <v>116</v>
      </c>
      <c r="M453">
        <f>IF(Tabela1[[#This Row],[Qtd Filhos]]&gt;=8,1,0)</f>
        <v>0</v>
      </c>
      <c r="N453">
        <f>IF(Tabela1[[#This Row],[Idade]]&gt;50,1,0)</f>
        <v>1</v>
      </c>
      <c r="O453">
        <f>YEAR(Tabela1[[#This Row],[Data Nasc.]])</f>
        <v>1966</v>
      </c>
    </row>
    <row r="454" spans="9:15" x14ac:dyDescent="0.25">
      <c r="I454" s="14">
        <f>MATCH(J454,J:J,0)</f>
        <v>238</v>
      </c>
      <c r="J454" s="14" t="s">
        <v>93</v>
      </c>
      <c r="M454">
        <f>IF(Tabela1[[#This Row],[Qtd Filhos]]&gt;=8,1,0)</f>
        <v>0</v>
      </c>
      <c r="N454">
        <f>IF(Tabela1[[#This Row],[Idade]]&gt;50,1,0)</f>
        <v>1</v>
      </c>
      <c r="O454">
        <f>YEAR(Tabela1[[#This Row],[Data Nasc.]])</f>
        <v>1973</v>
      </c>
    </row>
    <row r="455" spans="9:15" x14ac:dyDescent="0.25">
      <c r="I455" s="14">
        <f>MATCH(J455,J:J,0)</f>
        <v>87</v>
      </c>
      <c r="J455" s="14" t="s">
        <v>95</v>
      </c>
      <c r="M455">
        <f>IF(Tabela1[[#This Row],[Qtd Filhos]]&gt;=8,1,0)</f>
        <v>0</v>
      </c>
      <c r="N455">
        <f>IF(Tabela1[[#This Row],[Idade]]&gt;50,1,0)</f>
        <v>0</v>
      </c>
      <c r="O455">
        <f>YEAR(Tabela1[[#This Row],[Data Nasc.]])</f>
        <v>1986</v>
      </c>
    </row>
    <row r="456" spans="9:15" x14ac:dyDescent="0.25">
      <c r="I456" s="14">
        <f>MATCH(J456,J:J,0)</f>
        <v>168</v>
      </c>
      <c r="J456" s="14" t="s">
        <v>61</v>
      </c>
      <c r="M456">
        <f>IF(Tabela1[[#This Row],[Qtd Filhos]]&gt;=8,1,0)</f>
        <v>0</v>
      </c>
      <c r="N456">
        <f>IF(Tabela1[[#This Row],[Idade]]&gt;50,1,0)</f>
        <v>0</v>
      </c>
      <c r="O456">
        <f>YEAR(Tabela1[[#This Row],[Data Nasc.]])</f>
        <v>2007</v>
      </c>
    </row>
    <row r="457" spans="9:15" x14ac:dyDescent="0.25">
      <c r="I457" s="14">
        <f>MATCH(J457,J:J,0)</f>
        <v>160</v>
      </c>
      <c r="J457" s="14" t="s">
        <v>256</v>
      </c>
      <c r="M457">
        <f>IF(Tabela1[[#This Row],[Qtd Filhos]]&gt;=8,1,0)</f>
        <v>0</v>
      </c>
      <c r="N457">
        <f>IF(Tabela1[[#This Row],[Idade]]&gt;50,1,0)</f>
        <v>0</v>
      </c>
      <c r="O457">
        <f>YEAR(Tabela1[[#This Row],[Data Nasc.]])</f>
        <v>1993</v>
      </c>
    </row>
    <row r="458" spans="9:15" x14ac:dyDescent="0.25">
      <c r="I458" s="14">
        <f>MATCH(J458,J:J,0)</f>
        <v>34</v>
      </c>
      <c r="J458" s="14" t="s">
        <v>235</v>
      </c>
      <c r="M458">
        <f>IF(Tabela1[[#This Row],[Qtd Filhos]]&gt;=8,1,0)</f>
        <v>0</v>
      </c>
      <c r="N458">
        <f>IF(Tabela1[[#This Row],[Idade]]&gt;50,1,0)</f>
        <v>0</v>
      </c>
      <c r="O458">
        <f>YEAR(Tabela1[[#This Row],[Data Nasc.]])</f>
        <v>1978</v>
      </c>
    </row>
    <row r="459" spans="9:15" x14ac:dyDescent="0.25">
      <c r="I459" s="14">
        <f>MATCH(J459,J:J,0)</f>
        <v>28</v>
      </c>
      <c r="J459" s="14" t="s">
        <v>211</v>
      </c>
      <c r="M459">
        <f>IF(Tabela1[[#This Row],[Qtd Filhos]]&gt;=8,1,0)</f>
        <v>0</v>
      </c>
      <c r="N459">
        <f>IF(Tabela1[[#This Row],[Idade]]&gt;50,1,0)</f>
        <v>0</v>
      </c>
      <c r="O459">
        <f>YEAR(Tabela1[[#This Row],[Data Nasc.]])</f>
        <v>2000</v>
      </c>
    </row>
    <row r="460" spans="9:15" x14ac:dyDescent="0.25">
      <c r="I460" s="14">
        <f>MATCH(J460,J:J,0)</f>
        <v>41</v>
      </c>
      <c r="J460" s="14" t="s">
        <v>253</v>
      </c>
      <c r="M460">
        <f>IF(Tabela1[[#This Row],[Qtd Filhos]]&gt;=8,1,0)</f>
        <v>0</v>
      </c>
      <c r="N460">
        <f>IF(Tabela1[[#This Row],[Idade]]&gt;50,1,0)</f>
        <v>0</v>
      </c>
      <c r="O460">
        <f>YEAR(Tabela1[[#This Row],[Data Nasc.]])</f>
        <v>1977</v>
      </c>
    </row>
    <row r="461" spans="9:15" x14ac:dyDescent="0.25">
      <c r="I461" s="14">
        <f>MATCH(J461,J:J,0)</f>
        <v>12</v>
      </c>
      <c r="J461" s="14" t="s">
        <v>273</v>
      </c>
      <c r="M461">
        <f>IF(Tabela1[[#This Row],[Qtd Filhos]]&gt;=8,1,0)</f>
        <v>0</v>
      </c>
      <c r="N461">
        <f>IF(Tabela1[[#This Row],[Idade]]&gt;50,1,0)</f>
        <v>0</v>
      </c>
      <c r="O461">
        <f>YEAR(Tabela1[[#This Row],[Data Nasc.]])</f>
        <v>1976</v>
      </c>
    </row>
    <row r="462" spans="9:15" x14ac:dyDescent="0.25">
      <c r="I462" s="14">
        <f>MATCH(J462,J:J,0)</f>
        <v>42</v>
      </c>
      <c r="J462" s="14" t="s">
        <v>220</v>
      </c>
      <c r="M462">
        <f>IF(Tabela1[[#This Row],[Qtd Filhos]]&gt;=8,1,0)</f>
        <v>0</v>
      </c>
      <c r="N462">
        <f>IF(Tabela1[[#This Row],[Idade]]&gt;50,1,0)</f>
        <v>1</v>
      </c>
      <c r="O462">
        <f>YEAR(Tabela1[[#This Row],[Data Nasc.]])</f>
        <v>1973</v>
      </c>
    </row>
    <row r="463" spans="9:15" x14ac:dyDescent="0.25">
      <c r="I463" s="14">
        <f>MATCH(J463,J:J,0)</f>
        <v>317</v>
      </c>
      <c r="J463" s="14" t="s">
        <v>242</v>
      </c>
      <c r="M463">
        <f>IF(Tabela1[[#This Row],[Qtd Filhos]]&gt;=8,1,0)</f>
        <v>1</v>
      </c>
      <c r="N463">
        <f>IF(Tabela1[[#This Row],[Idade]]&gt;50,1,0)</f>
        <v>0</v>
      </c>
      <c r="O463">
        <f>YEAR(Tabela1[[#This Row],[Data Nasc.]])</f>
        <v>1981</v>
      </c>
    </row>
    <row r="464" spans="9:15" x14ac:dyDescent="0.25">
      <c r="I464" s="14">
        <f>MATCH(J464,J:J,0)</f>
        <v>28</v>
      </c>
      <c r="J464" s="14" t="s">
        <v>211</v>
      </c>
      <c r="M464">
        <f>IF(Tabela1[[#This Row],[Qtd Filhos]]&gt;=8,1,0)</f>
        <v>0</v>
      </c>
      <c r="N464">
        <f>IF(Tabela1[[#This Row],[Idade]]&gt;50,1,0)</f>
        <v>0</v>
      </c>
      <c r="O464">
        <f>YEAR(Tabela1[[#This Row],[Data Nasc.]])</f>
        <v>1987</v>
      </c>
    </row>
    <row r="465" spans="9:15" x14ac:dyDescent="0.25">
      <c r="I465" s="14">
        <f>MATCH(J465,J:J,0)</f>
        <v>49</v>
      </c>
      <c r="J465" s="14" t="s">
        <v>205</v>
      </c>
      <c r="M465">
        <f>IF(Tabela1[[#This Row],[Qtd Filhos]]&gt;=8,1,0)</f>
        <v>0</v>
      </c>
      <c r="N465">
        <f>IF(Tabela1[[#This Row],[Idade]]&gt;50,1,0)</f>
        <v>0</v>
      </c>
      <c r="O465">
        <f>YEAR(Tabela1[[#This Row],[Data Nasc.]])</f>
        <v>1989</v>
      </c>
    </row>
    <row r="466" spans="9:15" x14ac:dyDescent="0.25">
      <c r="I466" s="14">
        <f>MATCH(J466,J:J,0)</f>
        <v>70</v>
      </c>
      <c r="J466" s="14" t="s">
        <v>84</v>
      </c>
      <c r="M466">
        <f>IF(Tabela1[[#This Row],[Qtd Filhos]]&gt;=8,1,0)</f>
        <v>0</v>
      </c>
      <c r="N466">
        <f>IF(Tabela1[[#This Row],[Idade]]&gt;50,1,0)</f>
        <v>0</v>
      </c>
      <c r="O466">
        <f>YEAR(Tabela1[[#This Row],[Data Nasc.]])</f>
        <v>2000</v>
      </c>
    </row>
    <row r="467" spans="9:15" x14ac:dyDescent="0.25">
      <c r="I467" s="14">
        <f>MATCH(J467,J:J,0)</f>
        <v>42</v>
      </c>
      <c r="J467" s="14" t="s">
        <v>220</v>
      </c>
      <c r="M467">
        <f>IF(Tabela1[[#This Row],[Qtd Filhos]]&gt;=8,1,0)</f>
        <v>0</v>
      </c>
      <c r="N467">
        <f>IF(Tabela1[[#This Row],[Idade]]&gt;50,1,0)</f>
        <v>1</v>
      </c>
      <c r="O467">
        <f>YEAR(Tabela1[[#This Row],[Data Nasc.]])</f>
        <v>1961</v>
      </c>
    </row>
    <row r="468" spans="9:15" x14ac:dyDescent="0.25">
      <c r="I468" s="14">
        <f>MATCH(J468,J:J,0)</f>
        <v>66</v>
      </c>
      <c r="J468" s="14" t="s">
        <v>139</v>
      </c>
      <c r="M468">
        <f>IF(Tabela1[[#This Row],[Qtd Filhos]]&gt;=8,1,0)</f>
        <v>0</v>
      </c>
      <c r="N468">
        <f>IF(Tabela1[[#This Row],[Idade]]&gt;50,1,0)</f>
        <v>0</v>
      </c>
      <c r="O468">
        <f>YEAR(Tabela1[[#This Row],[Data Nasc.]])</f>
        <v>2005</v>
      </c>
    </row>
    <row r="469" spans="9:15" x14ac:dyDescent="0.25">
      <c r="I469" s="14">
        <f>MATCH(J469,J:J,0)</f>
        <v>30</v>
      </c>
      <c r="J469" s="14" t="s">
        <v>158</v>
      </c>
      <c r="M469">
        <f>IF(Tabela1[[#This Row],[Qtd Filhos]]&gt;=8,1,0)</f>
        <v>1</v>
      </c>
      <c r="N469">
        <f>IF(Tabela1[[#This Row],[Idade]]&gt;50,1,0)</f>
        <v>0</v>
      </c>
      <c r="O469">
        <f>YEAR(Tabela1[[#This Row],[Data Nasc.]])</f>
        <v>1986</v>
      </c>
    </row>
    <row r="470" spans="9:15" x14ac:dyDescent="0.25">
      <c r="I470" s="14">
        <f>MATCH(J470,J:J,0)</f>
        <v>34</v>
      </c>
      <c r="J470" s="14" t="s">
        <v>235</v>
      </c>
      <c r="M470">
        <f>IF(Tabela1[[#This Row],[Qtd Filhos]]&gt;=8,1,0)</f>
        <v>0</v>
      </c>
      <c r="N470">
        <f>IF(Tabela1[[#This Row],[Idade]]&gt;50,1,0)</f>
        <v>1</v>
      </c>
      <c r="O470">
        <f>YEAR(Tabela1[[#This Row],[Data Nasc.]])</f>
        <v>1970</v>
      </c>
    </row>
    <row r="471" spans="9:15" x14ac:dyDescent="0.25">
      <c r="I471" s="14">
        <f>MATCH(J471,J:J,0)</f>
        <v>94</v>
      </c>
      <c r="J471" s="14" t="s">
        <v>293</v>
      </c>
      <c r="M471">
        <f>IF(Tabela1[[#This Row],[Qtd Filhos]]&gt;=8,1,0)</f>
        <v>0</v>
      </c>
      <c r="N471">
        <f>IF(Tabela1[[#This Row],[Idade]]&gt;50,1,0)</f>
        <v>0</v>
      </c>
      <c r="O471">
        <f>YEAR(Tabela1[[#This Row],[Data Nasc.]])</f>
        <v>1976</v>
      </c>
    </row>
    <row r="472" spans="9:15" x14ac:dyDescent="0.25">
      <c r="I472" s="14">
        <f>MATCH(J472,J:J,0)</f>
        <v>104</v>
      </c>
      <c r="J472" s="14" t="s">
        <v>231</v>
      </c>
      <c r="M472">
        <f>IF(Tabela1[[#This Row],[Qtd Filhos]]&gt;=8,1,0)</f>
        <v>0</v>
      </c>
      <c r="N472">
        <f>IF(Tabela1[[#This Row],[Idade]]&gt;50,1,0)</f>
        <v>1</v>
      </c>
      <c r="O472">
        <f>YEAR(Tabela1[[#This Row],[Data Nasc.]])</f>
        <v>1965</v>
      </c>
    </row>
    <row r="473" spans="9:15" x14ac:dyDescent="0.25">
      <c r="I473" s="14">
        <f>MATCH(J473,J:J,0)</f>
        <v>46</v>
      </c>
      <c r="J473" s="14" t="s">
        <v>52</v>
      </c>
      <c r="M473">
        <f>IF(Tabela1[[#This Row],[Qtd Filhos]]&gt;=8,1,0)</f>
        <v>0</v>
      </c>
      <c r="N473">
        <f>IF(Tabela1[[#This Row],[Idade]]&gt;50,1,0)</f>
        <v>1</v>
      </c>
      <c r="O473">
        <f>YEAR(Tabela1[[#This Row],[Data Nasc.]])</f>
        <v>1964</v>
      </c>
    </row>
    <row r="474" spans="9:15" x14ac:dyDescent="0.25">
      <c r="I474" s="14">
        <f>MATCH(J474,J:J,0)</f>
        <v>87</v>
      </c>
      <c r="J474" s="14" t="s">
        <v>95</v>
      </c>
      <c r="M474">
        <f>IF(Tabela1[[#This Row],[Qtd Filhos]]&gt;=8,1,0)</f>
        <v>0</v>
      </c>
      <c r="N474">
        <f>IF(Tabela1[[#This Row],[Idade]]&gt;50,1,0)</f>
        <v>0</v>
      </c>
      <c r="O474">
        <f>YEAR(Tabela1[[#This Row],[Data Nasc.]])</f>
        <v>2001</v>
      </c>
    </row>
    <row r="475" spans="9:15" x14ac:dyDescent="0.25">
      <c r="I475" s="14">
        <f>MATCH(J475,J:J,0)</f>
        <v>153</v>
      </c>
      <c r="J475" s="14" t="s">
        <v>277</v>
      </c>
      <c r="M475">
        <f>IF(Tabela1[[#This Row],[Qtd Filhos]]&gt;=8,1,0)</f>
        <v>0</v>
      </c>
      <c r="N475">
        <f>IF(Tabela1[[#This Row],[Idade]]&gt;50,1,0)</f>
        <v>0</v>
      </c>
      <c r="O475">
        <f>YEAR(Tabela1[[#This Row],[Data Nasc.]])</f>
        <v>1997</v>
      </c>
    </row>
    <row r="476" spans="9:15" x14ac:dyDescent="0.25">
      <c r="I476" s="14">
        <f>MATCH(J476,J:J,0)</f>
        <v>33</v>
      </c>
      <c r="J476" s="14" t="s">
        <v>263</v>
      </c>
      <c r="M476">
        <f>IF(Tabela1[[#This Row],[Qtd Filhos]]&gt;=8,1,0)</f>
        <v>0</v>
      </c>
      <c r="N476">
        <f>IF(Tabela1[[#This Row],[Idade]]&gt;50,1,0)</f>
        <v>1</v>
      </c>
      <c r="O476">
        <f>YEAR(Tabela1[[#This Row],[Data Nasc.]])</f>
        <v>1967</v>
      </c>
    </row>
    <row r="477" spans="9:15" x14ac:dyDescent="0.25">
      <c r="I477" s="14">
        <f>MATCH(J477,J:J,0)</f>
        <v>477</v>
      </c>
      <c r="J477" s="14" t="s">
        <v>269</v>
      </c>
      <c r="M477">
        <f>IF(Tabela1[[#This Row],[Qtd Filhos]]&gt;=8,1,0)</f>
        <v>0</v>
      </c>
      <c r="N477">
        <f>IF(Tabela1[[#This Row],[Idade]]&gt;50,1,0)</f>
        <v>0</v>
      </c>
      <c r="O477">
        <f>YEAR(Tabela1[[#This Row],[Data Nasc.]])</f>
        <v>1987</v>
      </c>
    </row>
    <row r="478" spans="9:15" x14ac:dyDescent="0.25">
      <c r="I478" s="14">
        <f>MATCH(J478,J:J,0)</f>
        <v>87</v>
      </c>
      <c r="J478" s="14" t="s">
        <v>95</v>
      </c>
      <c r="M478">
        <f>IF(Tabela1[[#This Row],[Qtd Filhos]]&gt;=8,1,0)</f>
        <v>0</v>
      </c>
      <c r="N478">
        <f>IF(Tabela1[[#This Row],[Idade]]&gt;50,1,0)</f>
        <v>0</v>
      </c>
      <c r="O478">
        <f>YEAR(Tabela1[[#This Row],[Data Nasc.]])</f>
        <v>1991</v>
      </c>
    </row>
    <row r="479" spans="9:15" x14ac:dyDescent="0.25">
      <c r="I479" s="14">
        <f>MATCH(J479,J:J,0)</f>
        <v>317</v>
      </c>
      <c r="J479" s="14" t="s">
        <v>242</v>
      </c>
      <c r="M479">
        <f>IF(Tabela1[[#This Row],[Qtd Filhos]]&gt;=8,1,0)</f>
        <v>0</v>
      </c>
      <c r="N479">
        <f>IF(Tabela1[[#This Row],[Idade]]&gt;50,1,0)</f>
        <v>0</v>
      </c>
      <c r="O479">
        <f>YEAR(Tabela1[[#This Row],[Data Nasc.]])</f>
        <v>1983</v>
      </c>
    </row>
    <row r="480" spans="9:15" x14ac:dyDescent="0.25">
      <c r="I480" s="14">
        <f>MATCH(J480,J:J,0)</f>
        <v>143</v>
      </c>
      <c r="J480" s="14" t="s">
        <v>233</v>
      </c>
      <c r="M480">
        <f>IF(Tabela1[[#This Row],[Qtd Filhos]]&gt;=8,1,0)</f>
        <v>0</v>
      </c>
      <c r="N480">
        <f>IF(Tabela1[[#This Row],[Idade]]&gt;50,1,0)</f>
        <v>0</v>
      </c>
      <c r="O480">
        <f>YEAR(Tabela1[[#This Row],[Data Nasc.]])</f>
        <v>2003</v>
      </c>
    </row>
    <row r="481" spans="9:15" x14ac:dyDescent="0.25">
      <c r="I481" s="14">
        <f>MATCH(J481,J:J,0)</f>
        <v>11</v>
      </c>
      <c r="J481" s="14" t="s">
        <v>166</v>
      </c>
      <c r="M481">
        <f>IF(Tabela1[[#This Row],[Qtd Filhos]]&gt;=8,1,0)</f>
        <v>0</v>
      </c>
      <c r="N481">
        <f>IF(Tabela1[[#This Row],[Idade]]&gt;50,1,0)</f>
        <v>0</v>
      </c>
      <c r="O481">
        <f>YEAR(Tabela1[[#This Row],[Data Nasc.]])</f>
        <v>1999</v>
      </c>
    </row>
    <row r="482" spans="9:15" x14ac:dyDescent="0.25">
      <c r="I482" s="14">
        <f>MATCH(J482,J:J,0)</f>
        <v>70</v>
      </c>
      <c r="J482" s="14" t="s">
        <v>84</v>
      </c>
      <c r="M482">
        <f>IF(Tabela1[[#This Row],[Qtd Filhos]]&gt;=8,1,0)</f>
        <v>0</v>
      </c>
      <c r="N482">
        <f>IF(Tabela1[[#This Row],[Idade]]&gt;50,1,0)</f>
        <v>0</v>
      </c>
      <c r="O482">
        <f>YEAR(Tabela1[[#This Row],[Data Nasc.]])</f>
        <v>1981</v>
      </c>
    </row>
    <row r="483" spans="9:15" x14ac:dyDescent="0.25">
      <c r="I483" s="14">
        <f>MATCH(J483,J:J,0)</f>
        <v>134</v>
      </c>
      <c r="J483" s="14" t="s">
        <v>141</v>
      </c>
      <c r="M483">
        <f>IF(Tabela1[[#This Row],[Qtd Filhos]]&gt;=8,1,0)</f>
        <v>0</v>
      </c>
      <c r="N483">
        <f>IF(Tabela1[[#This Row],[Idade]]&gt;50,1,0)</f>
        <v>0</v>
      </c>
      <c r="O483">
        <f>YEAR(Tabela1[[#This Row],[Data Nasc.]])</f>
        <v>1976</v>
      </c>
    </row>
    <row r="484" spans="9:15" x14ac:dyDescent="0.25">
      <c r="I484" s="14">
        <f>MATCH(J484,J:J,0)</f>
        <v>45</v>
      </c>
      <c r="J484" s="14" t="s">
        <v>149</v>
      </c>
      <c r="M484">
        <f>IF(Tabela1[[#This Row],[Qtd Filhos]]&gt;=8,1,0)</f>
        <v>0</v>
      </c>
      <c r="N484">
        <f>IF(Tabela1[[#This Row],[Idade]]&gt;50,1,0)</f>
        <v>0</v>
      </c>
      <c r="O484">
        <f>YEAR(Tabela1[[#This Row],[Data Nasc.]])</f>
        <v>2000</v>
      </c>
    </row>
    <row r="485" spans="9:15" x14ac:dyDescent="0.25">
      <c r="I485" s="14">
        <f>MATCH(J485,J:J,0)</f>
        <v>85</v>
      </c>
      <c r="J485" s="14" t="s">
        <v>101</v>
      </c>
      <c r="M485">
        <f>IF(Tabela1[[#This Row],[Qtd Filhos]]&gt;=8,1,0)</f>
        <v>0</v>
      </c>
      <c r="N485">
        <f>IF(Tabela1[[#This Row],[Idade]]&gt;50,1,0)</f>
        <v>0</v>
      </c>
      <c r="O485">
        <f>YEAR(Tabela1[[#This Row],[Data Nasc.]])</f>
        <v>2007</v>
      </c>
    </row>
    <row r="486" spans="9:15" x14ac:dyDescent="0.25">
      <c r="I486" s="14">
        <f>MATCH(J486,J:J,0)</f>
        <v>91</v>
      </c>
      <c r="J486" s="14" t="s">
        <v>248</v>
      </c>
      <c r="M486">
        <f>IF(Tabela1[[#This Row],[Qtd Filhos]]&gt;=8,1,0)</f>
        <v>0</v>
      </c>
      <c r="N486">
        <f>IF(Tabela1[[#This Row],[Idade]]&gt;50,1,0)</f>
        <v>0</v>
      </c>
      <c r="O486">
        <f>YEAR(Tabela1[[#This Row],[Data Nasc.]])</f>
        <v>1994</v>
      </c>
    </row>
    <row r="487" spans="9:15" x14ac:dyDescent="0.25">
      <c r="I487" s="14">
        <f>MATCH(J487,J:J,0)</f>
        <v>177</v>
      </c>
      <c r="J487" s="14" t="s">
        <v>25</v>
      </c>
      <c r="M487">
        <f>IF(Tabela1[[#This Row],[Qtd Filhos]]&gt;=8,1,0)</f>
        <v>0</v>
      </c>
      <c r="N487">
        <f>IF(Tabela1[[#This Row],[Idade]]&gt;50,1,0)</f>
        <v>1</v>
      </c>
      <c r="O487">
        <f>YEAR(Tabela1[[#This Row],[Data Nasc.]])</f>
        <v>1974</v>
      </c>
    </row>
    <row r="488" spans="9:15" x14ac:dyDescent="0.25">
      <c r="I488" s="14">
        <f>MATCH(J488,J:J,0)</f>
        <v>62</v>
      </c>
      <c r="J488" s="14" t="s">
        <v>261</v>
      </c>
      <c r="M488">
        <f>IF(Tabela1[[#This Row],[Qtd Filhos]]&gt;=8,1,0)</f>
        <v>0</v>
      </c>
      <c r="N488">
        <f>IF(Tabela1[[#This Row],[Idade]]&gt;50,1,0)</f>
        <v>1</v>
      </c>
      <c r="O488">
        <f>YEAR(Tabela1[[#This Row],[Data Nasc.]])</f>
        <v>1972</v>
      </c>
    </row>
    <row r="489" spans="9:15" x14ac:dyDescent="0.25">
      <c r="I489" s="14">
        <f>MATCH(J489,J:J,0)</f>
        <v>345</v>
      </c>
      <c r="J489" s="14" t="s">
        <v>105</v>
      </c>
      <c r="M489">
        <f>IF(Tabela1[[#This Row],[Qtd Filhos]]&gt;=8,1,0)</f>
        <v>0</v>
      </c>
      <c r="N489">
        <f>IF(Tabela1[[#This Row],[Idade]]&gt;50,1,0)</f>
        <v>0</v>
      </c>
      <c r="O489">
        <f>YEAR(Tabela1[[#This Row],[Data Nasc.]])</f>
        <v>1978</v>
      </c>
    </row>
    <row r="490" spans="9:15" x14ac:dyDescent="0.25">
      <c r="I490" s="14">
        <f>MATCH(J490,J:J,0)</f>
        <v>42</v>
      </c>
      <c r="J490" s="14" t="s">
        <v>220</v>
      </c>
      <c r="M490">
        <f>IF(Tabela1[[#This Row],[Qtd Filhos]]&gt;=8,1,0)</f>
        <v>0</v>
      </c>
      <c r="N490">
        <f>IF(Tabela1[[#This Row],[Idade]]&gt;50,1,0)</f>
        <v>0</v>
      </c>
      <c r="O490">
        <f>YEAR(Tabela1[[#This Row],[Data Nasc.]])</f>
        <v>1996</v>
      </c>
    </row>
    <row r="491" spans="9:15" x14ac:dyDescent="0.25">
      <c r="I491" s="14">
        <f>MATCH(J491,J:J,0)</f>
        <v>37</v>
      </c>
      <c r="J491" s="14" t="s">
        <v>147</v>
      </c>
      <c r="M491">
        <f>IF(Tabela1[[#This Row],[Qtd Filhos]]&gt;=8,1,0)</f>
        <v>0</v>
      </c>
      <c r="N491">
        <f>IF(Tabela1[[#This Row],[Idade]]&gt;50,1,0)</f>
        <v>1</v>
      </c>
      <c r="O491">
        <f>YEAR(Tabela1[[#This Row],[Data Nasc.]])</f>
        <v>1971</v>
      </c>
    </row>
    <row r="492" spans="9:15" x14ac:dyDescent="0.25">
      <c r="I492" s="14">
        <f>MATCH(J492,J:J,0)</f>
        <v>233</v>
      </c>
      <c r="J492" s="14" t="s">
        <v>123</v>
      </c>
      <c r="M492">
        <f>IF(Tabela1[[#This Row],[Qtd Filhos]]&gt;=8,1,0)</f>
        <v>0</v>
      </c>
      <c r="N492">
        <f>IF(Tabela1[[#This Row],[Idade]]&gt;50,1,0)</f>
        <v>0</v>
      </c>
      <c r="O492">
        <f>YEAR(Tabela1[[#This Row],[Data Nasc.]])</f>
        <v>1996</v>
      </c>
    </row>
    <row r="493" spans="9:15" x14ac:dyDescent="0.25">
      <c r="I493" s="14">
        <f>MATCH(J493,J:J,0)</f>
        <v>238</v>
      </c>
      <c r="J493" s="14" t="s">
        <v>93</v>
      </c>
      <c r="M493">
        <f>IF(Tabela1[[#This Row],[Qtd Filhos]]&gt;=8,1,0)</f>
        <v>0</v>
      </c>
      <c r="N493">
        <f>IF(Tabela1[[#This Row],[Idade]]&gt;50,1,0)</f>
        <v>1</v>
      </c>
      <c r="O493">
        <f>YEAR(Tabela1[[#This Row],[Data Nasc.]])</f>
        <v>1972</v>
      </c>
    </row>
    <row r="494" spans="9:15" x14ac:dyDescent="0.25">
      <c r="I494" s="14">
        <f>MATCH(J494,J:J,0)</f>
        <v>19</v>
      </c>
      <c r="J494" s="14" t="s">
        <v>80</v>
      </c>
      <c r="M494">
        <f>IF(Tabela1[[#This Row],[Qtd Filhos]]&gt;=8,1,0)</f>
        <v>0</v>
      </c>
      <c r="N494">
        <f>IF(Tabela1[[#This Row],[Idade]]&gt;50,1,0)</f>
        <v>0</v>
      </c>
      <c r="O494">
        <f>YEAR(Tabela1[[#This Row],[Data Nasc.]])</f>
        <v>2002</v>
      </c>
    </row>
    <row r="495" spans="9:15" x14ac:dyDescent="0.25">
      <c r="I495" s="14">
        <f>MATCH(J495,J:J,0)</f>
        <v>54</v>
      </c>
      <c r="J495" s="14" t="s">
        <v>125</v>
      </c>
      <c r="M495">
        <f>IF(Tabela1[[#This Row],[Qtd Filhos]]&gt;=8,1,0)</f>
        <v>0</v>
      </c>
      <c r="N495">
        <f>IF(Tabela1[[#This Row],[Idade]]&gt;50,1,0)</f>
        <v>0</v>
      </c>
      <c r="O495">
        <f>YEAR(Tabela1[[#This Row],[Data Nasc.]])</f>
        <v>1979</v>
      </c>
    </row>
    <row r="496" spans="9:15" x14ac:dyDescent="0.25">
      <c r="I496" s="14">
        <f>MATCH(J496,J:J,0)</f>
        <v>332</v>
      </c>
      <c r="J496" s="14" t="s">
        <v>291</v>
      </c>
      <c r="M496">
        <f>IF(Tabela1[[#This Row],[Qtd Filhos]]&gt;=8,1,0)</f>
        <v>0</v>
      </c>
      <c r="N496">
        <f>IF(Tabela1[[#This Row],[Idade]]&gt;50,1,0)</f>
        <v>0</v>
      </c>
      <c r="O496">
        <f>YEAR(Tabela1[[#This Row],[Data Nasc.]])</f>
        <v>2003</v>
      </c>
    </row>
    <row r="497" spans="9:15" x14ac:dyDescent="0.25">
      <c r="I497" s="14">
        <f>MATCH(J497,J:J,0)</f>
        <v>37</v>
      </c>
      <c r="J497" s="14" t="s">
        <v>147</v>
      </c>
      <c r="M497">
        <f>IF(Tabela1[[#This Row],[Qtd Filhos]]&gt;=8,1,0)</f>
        <v>0</v>
      </c>
      <c r="N497">
        <f>IF(Tabela1[[#This Row],[Idade]]&gt;50,1,0)</f>
        <v>0</v>
      </c>
      <c r="O497">
        <f>YEAR(Tabela1[[#This Row],[Data Nasc.]])</f>
        <v>1994</v>
      </c>
    </row>
    <row r="498" spans="9:15" x14ac:dyDescent="0.25">
      <c r="I498" s="14">
        <f>MATCH(J498,J:J,0)</f>
        <v>34</v>
      </c>
      <c r="J498" s="14" t="s">
        <v>235</v>
      </c>
      <c r="M498">
        <f>IF(Tabela1[[#This Row],[Qtd Filhos]]&gt;=8,1,0)</f>
        <v>0</v>
      </c>
      <c r="N498">
        <f>IF(Tabela1[[#This Row],[Idade]]&gt;50,1,0)</f>
        <v>0</v>
      </c>
      <c r="O498">
        <f>YEAR(Tabela1[[#This Row],[Data Nasc.]])</f>
        <v>1993</v>
      </c>
    </row>
    <row r="499" spans="9:15" x14ac:dyDescent="0.25">
      <c r="I499" s="14">
        <f>MATCH(J499,J:J,0)</f>
        <v>184</v>
      </c>
      <c r="J499" s="14" t="s">
        <v>98</v>
      </c>
      <c r="M499">
        <f>IF(Tabela1[[#This Row],[Qtd Filhos]]&gt;=8,1,0)</f>
        <v>0</v>
      </c>
      <c r="N499">
        <f>IF(Tabela1[[#This Row],[Idade]]&gt;50,1,0)</f>
        <v>0</v>
      </c>
      <c r="O499">
        <f>YEAR(Tabela1[[#This Row],[Data Nasc.]])</f>
        <v>1979</v>
      </c>
    </row>
    <row r="500" spans="9:15" x14ac:dyDescent="0.25">
      <c r="I500" s="14">
        <f>MATCH(J500,J:J,0)</f>
        <v>81</v>
      </c>
      <c r="J500" s="14" t="s">
        <v>86</v>
      </c>
      <c r="M500">
        <f>IF(Tabela1[[#This Row],[Qtd Filhos]]&gt;=8,1,0)</f>
        <v>0</v>
      </c>
      <c r="N500">
        <f>IF(Tabela1[[#This Row],[Idade]]&gt;50,1,0)</f>
        <v>0</v>
      </c>
      <c r="O500">
        <f>YEAR(Tabela1[[#This Row],[Data Nasc.]])</f>
        <v>1997</v>
      </c>
    </row>
    <row r="501" spans="9:15" x14ac:dyDescent="0.25">
      <c r="I501" s="14">
        <f>MATCH(J501,J:J,0)</f>
        <v>71</v>
      </c>
      <c r="J501" s="14" t="s">
        <v>134</v>
      </c>
      <c r="M501">
        <f>IF(Tabela1[[#This Row],[Qtd Filhos]]&gt;=8,1,0)</f>
        <v>0</v>
      </c>
      <c r="N501">
        <f>IF(Tabela1[[#This Row],[Idade]]&gt;50,1,0)</f>
        <v>1</v>
      </c>
      <c r="O501">
        <f>YEAR(Tabela1[[#This Row],[Data Nasc.]])</f>
        <v>1965</v>
      </c>
    </row>
    <row r="502" spans="9:15" x14ac:dyDescent="0.25">
      <c r="I502" s="14">
        <f>MATCH(J502,J:J,0)</f>
        <v>40</v>
      </c>
      <c r="J502" s="14" t="s">
        <v>173</v>
      </c>
      <c r="M502">
        <f>IF(Tabela1[[#This Row],[Qtd Filhos]]&gt;=8,1,0)</f>
        <v>0</v>
      </c>
      <c r="N502">
        <f>IF(Tabela1[[#This Row],[Idade]]&gt;50,1,0)</f>
        <v>0</v>
      </c>
      <c r="O502">
        <f>YEAR(Tabela1[[#This Row],[Data Nasc.]])</f>
        <v>2002</v>
      </c>
    </row>
    <row r="503" spans="9:15" x14ac:dyDescent="0.25">
      <c r="I503" s="14">
        <f>MATCH(J503,J:J,0)</f>
        <v>26</v>
      </c>
      <c r="J503" s="14" t="s">
        <v>287</v>
      </c>
      <c r="M503">
        <f>IF(Tabela1[[#This Row],[Qtd Filhos]]&gt;=8,1,0)</f>
        <v>0</v>
      </c>
      <c r="N503">
        <f>IF(Tabela1[[#This Row],[Idade]]&gt;50,1,0)</f>
        <v>0</v>
      </c>
      <c r="O503">
        <f>YEAR(Tabela1[[#This Row],[Data Nasc.]])</f>
        <v>2008</v>
      </c>
    </row>
    <row r="504" spans="9:15" x14ac:dyDescent="0.25">
      <c r="I504" s="14">
        <f>MATCH(J504,J:J,0)</f>
        <v>238</v>
      </c>
      <c r="J504" s="14" t="s">
        <v>93</v>
      </c>
      <c r="M504">
        <f>IF(Tabela1[[#This Row],[Qtd Filhos]]&gt;=8,1,0)</f>
        <v>0</v>
      </c>
      <c r="N504">
        <f>IF(Tabela1[[#This Row],[Idade]]&gt;50,1,0)</f>
        <v>0</v>
      </c>
      <c r="O504">
        <f>YEAR(Tabela1[[#This Row],[Data Nasc.]])</f>
        <v>1996</v>
      </c>
    </row>
    <row r="505" spans="9:15" x14ac:dyDescent="0.25">
      <c r="I505" s="14">
        <f>MATCH(J505,J:J,0)</f>
        <v>174</v>
      </c>
      <c r="J505" s="14" t="s">
        <v>275</v>
      </c>
      <c r="M505">
        <f>IF(Tabela1[[#This Row],[Qtd Filhos]]&gt;=8,1,0)</f>
        <v>0</v>
      </c>
      <c r="N505">
        <f>IF(Tabela1[[#This Row],[Idade]]&gt;50,1,0)</f>
        <v>0</v>
      </c>
      <c r="O505">
        <f>YEAR(Tabela1[[#This Row],[Data Nasc.]])</f>
        <v>1995</v>
      </c>
    </row>
    <row r="506" spans="9:15" x14ac:dyDescent="0.25">
      <c r="I506" s="14">
        <f>MATCH(J506,J:J,0)</f>
        <v>12</v>
      </c>
      <c r="J506" s="14" t="s">
        <v>273</v>
      </c>
      <c r="M506">
        <f>IF(Tabela1[[#This Row],[Qtd Filhos]]&gt;=8,1,0)</f>
        <v>0</v>
      </c>
      <c r="N506">
        <f>IF(Tabela1[[#This Row],[Idade]]&gt;50,1,0)</f>
        <v>0</v>
      </c>
      <c r="O506">
        <f>YEAR(Tabela1[[#This Row],[Data Nasc.]])</f>
        <v>1984</v>
      </c>
    </row>
    <row r="507" spans="9:15" x14ac:dyDescent="0.25">
      <c r="I507" s="14">
        <f>MATCH(J507,J:J,0)</f>
        <v>6</v>
      </c>
      <c r="J507" s="14" t="s">
        <v>289</v>
      </c>
      <c r="M507">
        <f>IF(Tabela1[[#This Row],[Qtd Filhos]]&gt;=8,1,0)</f>
        <v>0</v>
      </c>
      <c r="N507">
        <f>IF(Tabela1[[#This Row],[Idade]]&gt;50,1,0)</f>
        <v>1</v>
      </c>
      <c r="O507">
        <f>YEAR(Tabela1[[#This Row],[Data Nasc.]])</f>
        <v>1973</v>
      </c>
    </row>
    <row r="508" spans="9:15" x14ac:dyDescent="0.25">
      <c r="I508" s="14">
        <f>MATCH(J508,J:J,0)</f>
        <v>116</v>
      </c>
      <c r="J508" s="14" t="s">
        <v>76</v>
      </c>
      <c r="M508">
        <f>IF(Tabela1[[#This Row],[Qtd Filhos]]&gt;=8,1,0)</f>
        <v>0</v>
      </c>
      <c r="N508">
        <f>IF(Tabela1[[#This Row],[Idade]]&gt;50,1,0)</f>
        <v>1</v>
      </c>
      <c r="O508">
        <f>YEAR(Tabela1[[#This Row],[Data Nasc.]])</f>
        <v>1975</v>
      </c>
    </row>
    <row r="509" spans="9:15" x14ac:dyDescent="0.25">
      <c r="I509" s="14">
        <f>MATCH(J509,J:J,0)</f>
        <v>177</v>
      </c>
      <c r="J509" s="14" t="s">
        <v>25</v>
      </c>
      <c r="M509">
        <f>IF(Tabela1[[#This Row],[Qtd Filhos]]&gt;=8,1,0)</f>
        <v>0</v>
      </c>
      <c r="N509">
        <f>IF(Tabela1[[#This Row],[Idade]]&gt;50,1,0)</f>
        <v>0</v>
      </c>
      <c r="O509">
        <f>YEAR(Tabela1[[#This Row],[Data Nasc.]])</f>
        <v>2003</v>
      </c>
    </row>
    <row r="510" spans="9:15" x14ac:dyDescent="0.25">
      <c r="I510" s="14">
        <f>MATCH(J510,J:J,0)</f>
        <v>54</v>
      </c>
      <c r="J510" s="14" t="s">
        <v>125</v>
      </c>
      <c r="M510">
        <f>IF(Tabela1[[#This Row],[Qtd Filhos]]&gt;=8,1,0)</f>
        <v>0</v>
      </c>
      <c r="N510">
        <f>IF(Tabela1[[#This Row],[Idade]]&gt;50,1,0)</f>
        <v>0</v>
      </c>
      <c r="O510">
        <f>YEAR(Tabela1[[#This Row],[Data Nasc.]])</f>
        <v>1977</v>
      </c>
    </row>
    <row r="511" spans="9:15" x14ac:dyDescent="0.25">
      <c r="I511" s="14">
        <f>MATCH(J511,J:J,0)</f>
        <v>72</v>
      </c>
      <c r="J511" s="14" t="s">
        <v>179</v>
      </c>
      <c r="M511">
        <f>IF(Tabela1[[#This Row],[Qtd Filhos]]&gt;=8,1,0)</f>
        <v>0</v>
      </c>
      <c r="N511">
        <f>IF(Tabela1[[#This Row],[Idade]]&gt;50,1,0)</f>
        <v>1</v>
      </c>
      <c r="O511">
        <f>YEAR(Tabela1[[#This Row],[Data Nasc.]])</f>
        <v>1965</v>
      </c>
    </row>
    <row r="512" spans="9:15" x14ac:dyDescent="0.25">
      <c r="I512" s="14">
        <f>MATCH(J512,J:J,0)</f>
        <v>77</v>
      </c>
      <c r="J512" s="14" t="s">
        <v>132</v>
      </c>
      <c r="M512">
        <f>IF(Tabela1[[#This Row],[Qtd Filhos]]&gt;=8,1,0)</f>
        <v>0</v>
      </c>
      <c r="N512">
        <f>IF(Tabela1[[#This Row],[Idade]]&gt;50,1,0)</f>
        <v>1</v>
      </c>
      <c r="O512">
        <f>YEAR(Tabela1[[#This Row],[Data Nasc.]])</f>
        <v>1974</v>
      </c>
    </row>
    <row r="513" spans="9:15" x14ac:dyDescent="0.25">
      <c r="I513" s="14">
        <f>MATCH(J513,J:J,0)</f>
        <v>70</v>
      </c>
      <c r="J513" s="14" t="s">
        <v>84</v>
      </c>
      <c r="M513">
        <f>IF(Tabela1[[#This Row],[Qtd Filhos]]&gt;=8,1,0)</f>
        <v>0</v>
      </c>
      <c r="N513">
        <f>IF(Tabela1[[#This Row],[Idade]]&gt;50,1,0)</f>
        <v>0</v>
      </c>
      <c r="O513">
        <f>YEAR(Tabela1[[#This Row],[Data Nasc.]])</f>
        <v>2008</v>
      </c>
    </row>
    <row r="514" spans="9:15" x14ac:dyDescent="0.25">
      <c r="I514" s="14">
        <f>MATCH(J514,J:J,0)</f>
        <v>81</v>
      </c>
      <c r="J514" s="14" t="s">
        <v>86</v>
      </c>
      <c r="M514">
        <f>IF(Tabela1[[#This Row],[Qtd Filhos]]&gt;=8,1,0)</f>
        <v>0</v>
      </c>
      <c r="N514">
        <f>IF(Tabela1[[#This Row],[Idade]]&gt;50,1,0)</f>
        <v>1</v>
      </c>
      <c r="O514">
        <f>YEAR(Tabela1[[#This Row],[Data Nasc.]])</f>
        <v>1966</v>
      </c>
    </row>
    <row r="515" spans="9:15" x14ac:dyDescent="0.25">
      <c r="I515" s="14">
        <f>MATCH(J515,J:J,0)</f>
        <v>26</v>
      </c>
      <c r="J515" s="14" t="s">
        <v>287</v>
      </c>
      <c r="M515">
        <f>IF(Tabela1[[#This Row],[Qtd Filhos]]&gt;=8,1,0)</f>
        <v>0</v>
      </c>
      <c r="N515">
        <f>IF(Tabela1[[#This Row],[Idade]]&gt;50,1,0)</f>
        <v>1</v>
      </c>
      <c r="O515">
        <f>YEAR(Tabela1[[#This Row],[Data Nasc.]])</f>
        <v>1972</v>
      </c>
    </row>
    <row r="516" spans="9:15" x14ac:dyDescent="0.25">
      <c r="I516" s="14">
        <f>MATCH(J516,J:J,0)</f>
        <v>477</v>
      </c>
      <c r="J516" s="14" t="s">
        <v>269</v>
      </c>
      <c r="M516">
        <f>IF(Tabela1[[#This Row],[Qtd Filhos]]&gt;=8,1,0)</f>
        <v>0</v>
      </c>
      <c r="N516">
        <f>IF(Tabela1[[#This Row],[Idade]]&gt;50,1,0)</f>
        <v>0</v>
      </c>
      <c r="O516">
        <f>YEAR(Tabela1[[#This Row],[Data Nasc.]])</f>
        <v>2007</v>
      </c>
    </row>
    <row r="517" spans="9:15" x14ac:dyDescent="0.25">
      <c r="I517" s="14">
        <f>MATCH(J517,J:J,0)</f>
        <v>292</v>
      </c>
      <c r="J517" s="14" t="s">
        <v>177</v>
      </c>
      <c r="M517">
        <f>IF(Tabela1[[#This Row],[Qtd Filhos]]&gt;=8,1,0)</f>
        <v>0</v>
      </c>
      <c r="N517">
        <f>IF(Tabela1[[#This Row],[Idade]]&gt;50,1,0)</f>
        <v>0</v>
      </c>
      <c r="O517">
        <f>YEAR(Tabela1[[#This Row],[Data Nasc.]])</f>
        <v>1984</v>
      </c>
    </row>
    <row r="518" spans="9:15" x14ac:dyDescent="0.25">
      <c r="I518" s="14">
        <f>MATCH(J518,J:J,0)</f>
        <v>27</v>
      </c>
      <c r="J518" s="14" t="s">
        <v>207</v>
      </c>
      <c r="M518">
        <f>IF(Tabela1[[#This Row],[Qtd Filhos]]&gt;=8,1,0)</f>
        <v>0</v>
      </c>
      <c r="N518">
        <f>IF(Tabela1[[#This Row],[Idade]]&gt;50,1,0)</f>
        <v>0</v>
      </c>
      <c r="O518">
        <f>YEAR(Tabela1[[#This Row],[Data Nasc.]])</f>
        <v>1984</v>
      </c>
    </row>
    <row r="519" spans="9:15" x14ac:dyDescent="0.25">
      <c r="I519" s="14">
        <f>MATCH(J519,J:J,0)</f>
        <v>58</v>
      </c>
      <c r="J519" s="14" t="s">
        <v>116</v>
      </c>
      <c r="M519">
        <f>IF(Tabela1[[#This Row],[Qtd Filhos]]&gt;=8,1,0)</f>
        <v>0</v>
      </c>
      <c r="N519">
        <f>IF(Tabela1[[#This Row],[Idade]]&gt;50,1,0)</f>
        <v>1</v>
      </c>
      <c r="O519">
        <f>YEAR(Tabela1[[#This Row],[Data Nasc.]])</f>
        <v>1962</v>
      </c>
    </row>
    <row r="520" spans="9:15" x14ac:dyDescent="0.25">
      <c r="I520" s="14">
        <f>MATCH(J520,J:J,0)</f>
        <v>17</v>
      </c>
      <c r="J520" s="14" t="s">
        <v>143</v>
      </c>
      <c r="M520">
        <f>IF(Tabela1[[#This Row],[Qtd Filhos]]&gt;=8,1,0)</f>
        <v>0</v>
      </c>
      <c r="N520">
        <f>IF(Tabela1[[#This Row],[Idade]]&gt;50,1,0)</f>
        <v>0</v>
      </c>
      <c r="O520">
        <f>YEAR(Tabela1[[#This Row],[Data Nasc.]])</f>
        <v>1976</v>
      </c>
    </row>
    <row r="521" spans="9:15" x14ac:dyDescent="0.25">
      <c r="I521" s="14">
        <f>MATCH(J521,J:J,0)</f>
        <v>28</v>
      </c>
      <c r="J521" s="14" t="s">
        <v>211</v>
      </c>
      <c r="M521">
        <f>IF(Tabela1[[#This Row],[Qtd Filhos]]&gt;=8,1,0)</f>
        <v>0</v>
      </c>
      <c r="N521">
        <f>IF(Tabela1[[#This Row],[Idade]]&gt;50,1,0)</f>
        <v>1</v>
      </c>
      <c r="O521">
        <f>YEAR(Tabela1[[#This Row],[Data Nasc.]])</f>
        <v>1973</v>
      </c>
    </row>
    <row r="522" spans="9:15" x14ac:dyDescent="0.25">
      <c r="I522" s="14">
        <f>MATCH(J522,J:J,0)</f>
        <v>175</v>
      </c>
      <c r="J522" s="14" t="s">
        <v>145</v>
      </c>
      <c r="M522">
        <f>IF(Tabela1[[#This Row],[Qtd Filhos]]&gt;=8,1,0)</f>
        <v>0</v>
      </c>
      <c r="N522">
        <f>IF(Tabela1[[#This Row],[Idade]]&gt;50,1,0)</f>
        <v>1</v>
      </c>
      <c r="O522">
        <f>YEAR(Tabela1[[#This Row],[Data Nasc.]])</f>
        <v>1975</v>
      </c>
    </row>
    <row r="523" spans="9:15" x14ac:dyDescent="0.25">
      <c r="I523" s="14">
        <f>MATCH(J523,J:J,0)</f>
        <v>66</v>
      </c>
      <c r="J523" s="14" t="s">
        <v>139</v>
      </c>
      <c r="M523">
        <f>IF(Tabela1[[#This Row],[Qtd Filhos]]&gt;=8,1,0)</f>
        <v>0</v>
      </c>
      <c r="N523">
        <f>IF(Tabela1[[#This Row],[Idade]]&gt;50,1,0)</f>
        <v>1</v>
      </c>
      <c r="O523">
        <f>YEAR(Tabela1[[#This Row],[Data Nasc.]])</f>
        <v>1971</v>
      </c>
    </row>
    <row r="524" spans="9:15" x14ac:dyDescent="0.25">
      <c r="I524" s="14">
        <f>MATCH(J524,J:J,0)</f>
        <v>160</v>
      </c>
      <c r="J524" s="14" t="s">
        <v>256</v>
      </c>
      <c r="M524">
        <f>IF(Tabela1[[#This Row],[Qtd Filhos]]&gt;=8,1,0)</f>
        <v>0</v>
      </c>
      <c r="N524">
        <f>IF(Tabela1[[#This Row],[Idade]]&gt;50,1,0)</f>
        <v>0</v>
      </c>
      <c r="O524">
        <f>YEAR(Tabela1[[#This Row],[Data Nasc.]])</f>
        <v>2005</v>
      </c>
    </row>
    <row r="525" spans="9:15" x14ac:dyDescent="0.25">
      <c r="I525" s="14">
        <f>MATCH(J525,J:J,0)</f>
        <v>239</v>
      </c>
      <c r="J525" s="14" t="s">
        <v>203</v>
      </c>
      <c r="M525">
        <f>IF(Tabela1[[#This Row],[Qtd Filhos]]&gt;=8,1,0)</f>
        <v>0</v>
      </c>
      <c r="N525">
        <f>IF(Tabela1[[#This Row],[Idade]]&gt;50,1,0)</f>
        <v>0</v>
      </c>
      <c r="O525">
        <f>YEAR(Tabela1[[#This Row],[Data Nasc.]])</f>
        <v>1991</v>
      </c>
    </row>
    <row r="526" spans="9:15" x14ac:dyDescent="0.25">
      <c r="I526" s="14">
        <f>MATCH(J526,J:J,0)</f>
        <v>4</v>
      </c>
      <c r="J526" s="14" t="s">
        <v>281</v>
      </c>
      <c r="M526">
        <f>IF(Tabela1[[#This Row],[Qtd Filhos]]&gt;=8,1,0)</f>
        <v>0</v>
      </c>
      <c r="N526">
        <f>IF(Tabela1[[#This Row],[Idade]]&gt;50,1,0)</f>
        <v>0</v>
      </c>
      <c r="O526">
        <f>YEAR(Tabela1[[#This Row],[Data Nasc.]])</f>
        <v>1984</v>
      </c>
    </row>
    <row r="527" spans="9:15" x14ac:dyDescent="0.25">
      <c r="I527" s="14">
        <f>MATCH(J527,J:J,0)</f>
        <v>2</v>
      </c>
      <c r="J527" s="14" t="s">
        <v>56</v>
      </c>
      <c r="M527">
        <f>IF(Tabela1[[#This Row],[Qtd Filhos]]&gt;=8,1,0)</f>
        <v>0</v>
      </c>
      <c r="N527">
        <f>IF(Tabela1[[#This Row],[Idade]]&gt;50,1,0)</f>
        <v>0</v>
      </c>
      <c r="O527">
        <f>YEAR(Tabela1[[#This Row],[Data Nasc.]])</f>
        <v>2006</v>
      </c>
    </row>
    <row r="528" spans="9:15" x14ac:dyDescent="0.25">
      <c r="I528" s="14">
        <f>MATCH(J528,J:J,0)</f>
        <v>21</v>
      </c>
      <c r="J528" s="14" t="s">
        <v>244</v>
      </c>
      <c r="M528">
        <f>IF(Tabela1[[#This Row],[Qtd Filhos]]&gt;=8,1,0)</f>
        <v>0</v>
      </c>
      <c r="N528">
        <f>IF(Tabela1[[#This Row],[Idade]]&gt;50,1,0)</f>
        <v>1</v>
      </c>
      <c r="O528">
        <f>YEAR(Tabela1[[#This Row],[Data Nasc.]])</f>
        <v>1964</v>
      </c>
    </row>
    <row r="529" spans="9:15" x14ac:dyDescent="0.25">
      <c r="I529" s="14">
        <f>MATCH(J529,J:J,0)</f>
        <v>8</v>
      </c>
      <c r="J529" s="14" t="s">
        <v>192</v>
      </c>
      <c r="M529">
        <f>IF(Tabela1[[#This Row],[Qtd Filhos]]&gt;=8,1,0)</f>
        <v>0</v>
      </c>
      <c r="N529">
        <f>IF(Tabela1[[#This Row],[Idade]]&gt;50,1,0)</f>
        <v>0</v>
      </c>
      <c r="O529">
        <f>YEAR(Tabela1[[#This Row],[Data Nasc.]])</f>
        <v>2002</v>
      </c>
    </row>
    <row r="530" spans="9:15" x14ac:dyDescent="0.25">
      <c r="I530" s="14">
        <f>MATCH(J530,J:J,0)</f>
        <v>100</v>
      </c>
      <c r="J530" s="14" t="s">
        <v>238</v>
      </c>
      <c r="M530">
        <f>IF(Tabela1[[#This Row],[Qtd Filhos]]&gt;=8,1,0)</f>
        <v>0</v>
      </c>
      <c r="N530">
        <f>IF(Tabela1[[#This Row],[Idade]]&gt;50,1,0)</f>
        <v>0</v>
      </c>
      <c r="O530">
        <f>YEAR(Tabela1[[#This Row],[Data Nasc.]])</f>
        <v>1984</v>
      </c>
    </row>
    <row r="531" spans="9:15" x14ac:dyDescent="0.25">
      <c r="I531" s="14">
        <f>MATCH(J531,J:J,0)</f>
        <v>134</v>
      </c>
      <c r="J531" s="14" t="s">
        <v>141</v>
      </c>
      <c r="M531">
        <f>IF(Tabela1[[#This Row],[Qtd Filhos]]&gt;=8,1,0)</f>
        <v>0</v>
      </c>
      <c r="N531">
        <f>IF(Tabela1[[#This Row],[Idade]]&gt;50,1,0)</f>
        <v>0</v>
      </c>
      <c r="O531">
        <f>YEAR(Tabela1[[#This Row],[Data Nasc.]])</f>
        <v>2004</v>
      </c>
    </row>
    <row r="532" spans="9:15" x14ac:dyDescent="0.25">
      <c r="I532" s="14">
        <f>MATCH(J532,J:J,0)</f>
        <v>72</v>
      </c>
      <c r="J532" s="14" t="s">
        <v>179</v>
      </c>
      <c r="M532">
        <f>IF(Tabela1[[#This Row],[Qtd Filhos]]&gt;=8,1,0)</f>
        <v>0</v>
      </c>
      <c r="N532">
        <f>IF(Tabela1[[#This Row],[Idade]]&gt;50,1,0)</f>
        <v>0</v>
      </c>
      <c r="O532">
        <f>YEAR(Tabela1[[#This Row],[Data Nasc.]])</f>
        <v>2004</v>
      </c>
    </row>
    <row r="533" spans="9:15" x14ac:dyDescent="0.25">
      <c r="I533" s="14">
        <f>MATCH(J533,J:J,0)</f>
        <v>23</v>
      </c>
      <c r="J533" s="14" t="s">
        <v>283</v>
      </c>
      <c r="M533">
        <f>IF(Tabela1[[#This Row],[Qtd Filhos]]&gt;=8,1,0)</f>
        <v>0</v>
      </c>
      <c r="N533">
        <f>IF(Tabela1[[#This Row],[Idade]]&gt;50,1,0)</f>
        <v>0</v>
      </c>
      <c r="O533">
        <f>YEAR(Tabela1[[#This Row],[Data Nasc.]])</f>
        <v>1986</v>
      </c>
    </row>
    <row r="534" spans="9:15" x14ac:dyDescent="0.25">
      <c r="I534" s="14">
        <f>MATCH(J534,J:J,0)</f>
        <v>87</v>
      </c>
      <c r="J534" s="14" t="s">
        <v>95</v>
      </c>
      <c r="M534">
        <f>IF(Tabela1[[#This Row],[Qtd Filhos]]&gt;=8,1,0)</f>
        <v>0</v>
      </c>
      <c r="N534">
        <f>IF(Tabela1[[#This Row],[Idade]]&gt;50,1,0)</f>
        <v>0</v>
      </c>
      <c r="O534">
        <f>YEAR(Tabela1[[#This Row],[Data Nasc.]])</f>
        <v>1979</v>
      </c>
    </row>
    <row r="535" spans="9:15" x14ac:dyDescent="0.25">
      <c r="I535" s="14">
        <f>MATCH(J535,J:J,0)</f>
        <v>2</v>
      </c>
      <c r="J535" s="14" t="s">
        <v>56</v>
      </c>
      <c r="M535">
        <f>IF(Tabela1[[#This Row],[Qtd Filhos]]&gt;=8,1,0)</f>
        <v>0</v>
      </c>
      <c r="N535">
        <f>IF(Tabela1[[#This Row],[Idade]]&gt;50,1,0)</f>
        <v>0</v>
      </c>
      <c r="O535">
        <f>YEAR(Tabela1[[#This Row],[Data Nasc.]])</f>
        <v>2002</v>
      </c>
    </row>
    <row r="536" spans="9:15" x14ac:dyDescent="0.25">
      <c r="I536" s="14">
        <f>MATCH(J536,J:J,0)</f>
        <v>100</v>
      </c>
      <c r="J536" s="14" t="s">
        <v>238</v>
      </c>
      <c r="M536">
        <f>IF(Tabela1[[#This Row],[Qtd Filhos]]&gt;=8,1,0)</f>
        <v>0</v>
      </c>
      <c r="N536">
        <f>IF(Tabela1[[#This Row],[Idade]]&gt;50,1,0)</f>
        <v>1</v>
      </c>
      <c r="O536">
        <f>YEAR(Tabela1[[#This Row],[Data Nasc.]])</f>
        <v>1961</v>
      </c>
    </row>
    <row r="537" spans="9:15" x14ac:dyDescent="0.25">
      <c r="I537" s="14">
        <f>MATCH(J537,J:J,0)</f>
        <v>7</v>
      </c>
      <c r="J537" s="14" t="s">
        <v>118</v>
      </c>
      <c r="M537">
        <f>IF(Tabela1[[#This Row],[Qtd Filhos]]&gt;=8,1,0)</f>
        <v>0</v>
      </c>
      <c r="N537">
        <f>IF(Tabela1[[#This Row],[Idade]]&gt;50,1,0)</f>
        <v>1</v>
      </c>
      <c r="O537">
        <f>YEAR(Tabela1[[#This Row],[Data Nasc.]])</f>
        <v>1962</v>
      </c>
    </row>
    <row r="538" spans="9:15" x14ac:dyDescent="0.25">
      <c r="I538" s="14">
        <f>MATCH(J538,J:J,0)</f>
        <v>109</v>
      </c>
      <c r="J538" s="14" t="s">
        <v>190</v>
      </c>
      <c r="M538">
        <f>IF(Tabela1[[#This Row],[Qtd Filhos]]&gt;=8,1,0)</f>
        <v>0</v>
      </c>
      <c r="N538">
        <f>IF(Tabela1[[#This Row],[Idade]]&gt;50,1,0)</f>
        <v>1</v>
      </c>
      <c r="O538">
        <f>YEAR(Tabela1[[#This Row],[Data Nasc.]])</f>
        <v>1975</v>
      </c>
    </row>
    <row r="539" spans="9:15" x14ac:dyDescent="0.25">
      <c r="I539" s="14">
        <f>MATCH(J539,J:J,0)</f>
        <v>163</v>
      </c>
      <c r="J539" s="14" t="s">
        <v>265</v>
      </c>
      <c r="M539">
        <f>IF(Tabela1[[#This Row],[Qtd Filhos]]&gt;=8,1,0)</f>
        <v>0</v>
      </c>
      <c r="N539">
        <f>IF(Tabela1[[#This Row],[Idade]]&gt;50,1,0)</f>
        <v>0</v>
      </c>
      <c r="O539">
        <f>YEAR(Tabela1[[#This Row],[Data Nasc.]])</f>
        <v>2005</v>
      </c>
    </row>
    <row r="540" spans="9:15" x14ac:dyDescent="0.25">
      <c r="I540" s="14">
        <f>MATCH(J540,J:J,0)</f>
        <v>104</v>
      </c>
      <c r="J540" s="14" t="s">
        <v>231</v>
      </c>
      <c r="M540">
        <f>IF(Tabela1[[#This Row],[Qtd Filhos]]&gt;=8,1,0)</f>
        <v>0</v>
      </c>
      <c r="N540">
        <f>IF(Tabela1[[#This Row],[Idade]]&gt;50,1,0)</f>
        <v>0</v>
      </c>
      <c r="O540">
        <f>YEAR(Tabela1[[#This Row],[Data Nasc.]])</f>
        <v>2005</v>
      </c>
    </row>
    <row r="541" spans="9:15" x14ac:dyDescent="0.25">
      <c r="I541" s="14">
        <f>MATCH(J541,J:J,0)</f>
        <v>26</v>
      </c>
      <c r="J541" s="14" t="s">
        <v>287</v>
      </c>
      <c r="M541">
        <f>IF(Tabela1[[#This Row],[Qtd Filhos]]&gt;=8,1,0)</f>
        <v>0</v>
      </c>
      <c r="N541">
        <f>IF(Tabela1[[#This Row],[Idade]]&gt;50,1,0)</f>
        <v>0</v>
      </c>
      <c r="O541">
        <f>YEAR(Tabela1[[#This Row],[Data Nasc.]])</f>
        <v>1998</v>
      </c>
    </row>
    <row r="542" spans="9:15" x14ac:dyDescent="0.25">
      <c r="I542" s="14">
        <f>MATCH(J542,J:J,0)</f>
        <v>153</v>
      </c>
      <c r="J542" s="14" t="s">
        <v>277</v>
      </c>
      <c r="M542">
        <f>IF(Tabela1[[#This Row],[Qtd Filhos]]&gt;=8,1,0)</f>
        <v>0</v>
      </c>
      <c r="N542">
        <f>IF(Tabela1[[#This Row],[Idade]]&gt;50,1,0)</f>
        <v>1</v>
      </c>
      <c r="O542">
        <f>YEAR(Tabela1[[#This Row],[Data Nasc.]])</f>
        <v>1969</v>
      </c>
    </row>
    <row r="543" spans="9:15" x14ac:dyDescent="0.25">
      <c r="I543" s="14">
        <f>MATCH(J543,J:J,0)</f>
        <v>29</v>
      </c>
      <c r="J543" s="14" t="s">
        <v>209</v>
      </c>
      <c r="M543">
        <f>IF(Tabela1[[#This Row],[Qtd Filhos]]&gt;=8,1,0)</f>
        <v>0</v>
      </c>
      <c r="N543">
        <f>IF(Tabela1[[#This Row],[Idade]]&gt;50,1,0)</f>
        <v>0</v>
      </c>
      <c r="O543">
        <f>YEAR(Tabela1[[#This Row],[Data Nasc.]])</f>
        <v>2004</v>
      </c>
    </row>
    <row r="544" spans="9:15" x14ac:dyDescent="0.25">
      <c r="I544" s="14">
        <f>MATCH(J544,J:J,0)</f>
        <v>38</v>
      </c>
      <c r="J544" s="14" t="s">
        <v>246</v>
      </c>
      <c r="M544">
        <f>IF(Tabela1[[#This Row],[Qtd Filhos]]&gt;=8,1,0)</f>
        <v>0</v>
      </c>
      <c r="N544">
        <f>IF(Tabela1[[#This Row],[Idade]]&gt;50,1,0)</f>
        <v>0</v>
      </c>
      <c r="O544">
        <f>YEAR(Tabela1[[#This Row],[Data Nasc.]])</f>
        <v>1995</v>
      </c>
    </row>
    <row r="545" spans="9:15" x14ac:dyDescent="0.25">
      <c r="I545" s="14">
        <f>MATCH(J545,J:J,0)</f>
        <v>87</v>
      </c>
      <c r="J545" s="14" t="s">
        <v>95</v>
      </c>
      <c r="M545">
        <f>IF(Tabela1[[#This Row],[Qtd Filhos]]&gt;=8,1,0)</f>
        <v>0</v>
      </c>
      <c r="N545">
        <f>IF(Tabela1[[#This Row],[Idade]]&gt;50,1,0)</f>
        <v>1</v>
      </c>
      <c r="O545">
        <f>YEAR(Tabela1[[#This Row],[Data Nasc.]])</f>
        <v>1965</v>
      </c>
    </row>
    <row r="546" spans="9:15" x14ac:dyDescent="0.25">
      <c r="I546" s="14">
        <f>MATCH(J546,J:J,0)</f>
        <v>71</v>
      </c>
      <c r="J546" s="14" t="s">
        <v>134</v>
      </c>
      <c r="M546">
        <f>IF(Tabela1[[#This Row],[Qtd Filhos]]&gt;=8,1,0)</f>
        <v>0</v>
      </c>
      <c r="N546">
        <f>IF(Tabela1[[#This Row],[Idade]]&gt;50,1,0)</f>
        <v>0</v>
      </c>
      <c r="O546">
        <f>YEAR(Tabela1[[#This Row],[Data Nasc.]])</f>
        <v>2007</v>
      </c>
    </row>
    <row r="547" spans="9:15" x14ac:dyDescent="0.25">
      <c r="I547" s="14">
        <f>MATCH(J547,J:J,0)</f>
        <v>25</v>
      </c>
      <c r="J547" s="14" t="s">
        <v>214</v>
      </c>
      <c r="M547">
        <f>IF(Tabela1[[#This Row],[Qtd Filhos]]&gt;=8,1,0)</f>
        <v>0</v>
      </c>
      <c r="N547">
        <f>IF(Tabela1[[#This Row],[Idade]]&gt;50,1,0)</f>
        <v>1</v>
      </c>
      <c r="O547">
        <f>YEAR(Tabela1[[#This Row],[Data Nasc.]])</f>
        <v>1972</v>
      </c>
    </row>
    <row r="548" spans="9:15" x14ac:dyDescent="0.25">
      <c r="I548" s="14">
        <f>MATCH(J548,J:J,0)</f>
        <v>43</v>
      </c>
      <c r="J548" s="14" t="s">
        <v>154</v>
      </c>
      <c r="M548">
        <f>IF(Tabela1[[#This Row],[Qtd Filhos]]&gt;=8,1,0)</f>
        <v>0</v>
      </c>
      <c r="N548">
        <f>IF(Tabela1[[#This Row],[Idade]]&gt;50,1,0)</f>
        <v>1</v>
      </c>
      <c r="O548">
        <f>YEAR(Tabela1[[#This Row],[Data Nasc.]])</f>
        <v>1968</v>
      </c>
    </row>
    <row r="549" spans="9:15" x14ac:dyDescent="0.25">
      <c r="I549" s="14">
        <f>MATCH(J549,J:J,0)</f>
        <v>19</v>
      </c>
      <c r="J549" s="14" t="s">
        <v>80</v>
      </c>
      <c r="M549">
        <f>IF(Tabela1[[#This Row],[Qtd Filhos]]&gt;=8,1,0)</f>
        <v>0</v>
      </c>
      <c r="N549">
        <f>IF(Tabela1[[#This Row],[Idade]]&gt;50,1,0)</f>
        <v>0</v>
      </c>
      <c r="O549">
        <f>YEAR(Tabela1[[#This Row],[Data Nasc.]])</f>
        <v>2001</v>
      </c>
    </row>
    <row r="550" spans="9:15" x14ac:dyDescent="0.25">
      <c r="I550" s="14">
        <f>MATCH(J550,J:J,0)</f>
        <v>238</v>
      </c>
      <c r="J550" s="14" t="s">
        <v>93</v>
      </c>
      <c r="M550">
        <f>IF(Tabela1[[#This Row],[Qtd Filhos]]&gt;=8,1,0)</f>
        <v>0</v>
      </c>
      <c r="N550">
        <f>IF(Tabela1[[#This Row],[Idade]]&gt;50,1,0)</f>
        <v>0</v>
      </c>
      <c r="O550">
        <f>YEAR(Tabela1[[#This Row],[Data Nasc.]])</f>
        <v>1978</v>
      </c>
    </row>
    <row r="551" spans="9:15" x14ac:dyDescent="0.25">
      <c r="I551" s="14">
        <f>MATCH(J551,J:J,0)</f>
        <v>104</v>
      </c>
      <c r="J551" s="14" t="s">
        <v>231</v>
      </c>
      <c r="M551">
        <f>IF(Tabela1[[#This Row],[Qtd Filhos]]&gt;=8,1,0)</f>
        <v>0</v>
      </c>
      <c r="N551">
        <f>IF(Tabela1[[#This Row],[Idade]]&gt;50,1,0)</f>
        <v>0</v>
      </c>
      <c r="O551">
        <f>YEAR(Tabela1[[#This Row],[Data Nasc.]])</f>
        <v>2007</v>
      </c>
    </row>
    <row r="552" spans="9:15" x14ac:dyDescent="0.25">
      <c r="I552" s="14">
        <f>MATCH(J552,J:J,0)</f>
        <v>260</v>
      </c>
      <c r="J552" s="14" t="s">
        <v>182</v>
      </c>
      <c r="M552">
        <f>IF(Tabela1[[#This Row],[Qtd Filhos]]&gt;=8,1,0)</f>
        <v>0</v>
      </c>
      <c r="N552">
        <f>IF(Tabela1[[#This Row],[Idade]]&gt;50,1,0)</f>
        <v>0</v>
      </c>
      <c r="O552">
        <f>YEAR(Tabela1[[#This Row],[Data Nasc.]])</f>
        <v>2000</v>
      </c>
    </row>
    <row r="553" spans="9:15" x14ac:dyDescent="0.25">
      <c r="I553" s="14">
        <f>MATCH(J553,J:J,0)</f>
        <v>91</v>
      </c>
      <c r="J553" s="14" t="s">
        <v>248</v>
      </c>
      <c r="M553">
        <f>IF(Tabela1[[#This Row],[Qtd Filhos]]&gt;=8,1,0)</f>
        <v>0</v>
      </c>
      <c r="N553">
        <f>IF(Tabela1[[#This Row],[Idade]]&gt;50,1,0)</f>
        <v>0</v>
      </c>
      <c r="O553">
        <f>YEAR(Tabela1[[#This Row],[Data Nasc.]])</f>
        <v>1990</v>
      </c>
    </row>
    <row r="554" spans="9:15" x14ac:dyDescent="0.25">
      <c r="I554" s="14">
        <f>MATCH(J554,J:J,0)</f>
        <v>48</v>
      </c>
      <c r="J554" s="14" t="s">
        <v>222</v>
      </c>
      <c r="M554">
        <f>IF(Tabela1[[#This Row],[Qtd Filhos]]&gt;=8,1,0)</f>
        <v>0</v>
      </c>
      <c r="N554">
        <f>IF(Tabela1[[#This Row],[Idade]]&gt;50,1,0)</f>
        <v>0</v>
      </c>
      <c r="O554">
        <f>YEAR(Tabela1[[#This Row],[Data Nasc.]])</f>
        <v>1993</v>
      </c>
    </row>
    <row r="555" spans="9:15" x14ac:dyDescent="0.25">
      <c r="I555" s="14">
        <f>MATCH(J555,J:J,0)</f>
        <v>238</v>
      </c>
      <c r="J555" s="14" t="s">
        <v>93</v>
      </c>
      <c r="M555">
        <f>IF(Tabela1[[#This Row],[Qtd Filhos]]&gt;=8,1,0)</f>
        <v>0</v>
      </c>
      <c r="N555">
        <f>IF(Tabela1[[#This Row],[Idade]]&gt;50,1,0)</f>
        <v>0</v>
      </c>
      <c r="O555">
        <f>YEAR(Tabela1[[#This Row],[Data Nasc.]])</f>
        <v>1977</v>
      </c>
    </row>
    <row r="556" spans="9:15" x14ac:dyDescent="0.25">
      <c r="I556" s="14">
        <f>MATCH(J556,J:J,0)</f>
        <v>143</v>
      </c>
      <c r="J556" s="14" t="s">
        <v>233</v>
      </c>
      <c r="M556">
        <f>IF(Tabela1[[#This Row],[Qtd Filhos]]&gt;=8,1,0)</f>
        <v>0</v>
      </c>
      <c r="N556">
        <f>IF(Tabela1[[#This Row],[Idade]]&gt;50,1,0)</f>
        <v>0</v>
      </c>
      <c r="O556">
        <f>YEAR(Tabela1[[#This Row],[Data Nasc.]])</f>
        <v>1983</v>
      </c>
    </row>
    <row r="557" spans="9:15" x14ac:dyDescent="0.25">
      <c r="I557" s="14">
        <f>MATCH(J557,J:J,0)</f>
        <v>12</v>
      </c>
      <c r="J557" s="14" t="s">
        <v>273</v>
      </c>
      <c r="M557">
        <f>IF(Tabela1[[#This Row],[Qtd Filhos]]&gt;=8,1,0)</f>
        <v>0</v>
      </c>
      <c r="N557">
        <f>IF(Tabela1[[#This Row],[Idade]]&gt;50,1,0)</f>
        <v>1</v>
      </c>
      <c r="O557">
        <f>YEAR(Tabela1[[#This Row],[Data Nasc.]])</f>
        <v>1974</v>
      </c>
    </row>
    <row r="558" spans="9:15" x14ac:dyDescent="0.25">
      <c r="I558" s="14">
        <f>MATCH(J558,J:J,0)</f>
        <v>238</v>
      </c>
      <c r="J558" s="14" t="s">
        <v>93</v>
      </c>
      <c r="M558">
        <f>IF(Tabela1[[#This Row],[Qtd Filhos]]&gt;=8,1,0)</f>
        <v>0</v>
      </c>
      <c r="N558">
        <f>IF(Tabela1[[#This Row],[Idade]]&gt;50,1,0)</f>
        <v>0</v>
      </c>
      <c r="O558">
        <f>YEAR(Tabela1[[#This Row],[Data Nasc.]])</f>
        <v>1991</v>
      </c>
    </row>
    <row r="559" spans="9:15" x14ac:dyDescent="0.25">
      <c r="I559" s="14">
        <f>MATCH(J559,J:J,0)</f>
        <v>53</v>
      </c>
      <c r="J559" s="14" t="s">
        <v>271</v>
      </c>
      <c r="M559">
        <f>IF(Tabela1[[#This Row],[Qtd Filhos]]&gt;=8,1,0)</f>
        <v>0</v>
      </c>
      <c r="N559">
        <f>IF(Tabela1[[#This Row],[Idade]]&gt;50,1,0)</f>
        <v>1</v>
      </c>
      <c r="O559">
        <f>YEAR(Tabela1[[#This Row],[Data Nasc.]])</f>
        <v>1968</v>
      </c>
    </row>
    <row r="560" spans="9:15" x14ac:dyDescent="0.25">
      <c r="I560" s="14">
        <f>MATCH(J560,J:J,0)</f>
        <v>94</v>
      </c>
      <c r="J560" s="14" t="s">
        <v>293</v>
      </c>
      <c r="M560">
        <f>IF(Tabela1[[#This Row],[Qtd Filhos]]&gt;=8,1,0)</f>
        <v>0</v>
      </c>
      <c r="N560">
        <f>IF(Tabela1[[#This Row],[Idade]]&gt;50,1,0)</f>
        <v>0</v>
      </c>
      <c r="O560">
        <f>YEAR(Tabela1[[#This Row],[Data Nasc.]])</f>
        <v>1988</v>
      </c>
    </row>
    <row r="561" spans="9:15" x14ac:dyDescent="0.25">
      <c r="I561" s="14">
        <f>MATCH(J561,J:J,0)</f>
        <v>278</v>
      </c>
      <c r="J561" s="14" t="s">
        <v>267</v>
      </c>
      <c r="M561">
        <f>IF(Tabela1[[#This Row],[Qtd Filhos]]&gt;=8,1,0)</f>
        <v>0</v>
      </c>
      <c r="N561">
        <f>IF(Tabela1[[#This Row],[Idade]]&gt;50,1,0)</f>
        <v>0</v>
      </c>
      <c r="O561">
        <f>YEAR(Tabela1[[#This Row],[Data Nasc.]])</f>
        <v>2007</v>
      </c>
    </row>
    <row r="562" spans="9:15" x14ac:dyDescent="0.25">
      <c r="I562" s="14">
        <f>MATCH(J562,J:J,0)</f>
        <v>100</v>
      </c>
      <c r="J562" s="14" t="s">
        <v>238</v>
      </c>
      <c r="M562">
        <f>IF(Tabela1[[#This Row],[Qtd Filhos]]&gt;=8,1,0)</f>
        <v>0</v>
      </c>
      <c r="N562">
        <f>IF(Tabela1[[#This Row],[Idade]]&gt;50,1,0)</f>
        <v>1</v>
      </c>
      <c r="O562">
        <f>YEAR(Tabela1[[#This Row],[Data Nasc.]])</f>
        <v>1972</v>
      </c>
    </row>
    <row r="563" spans="9:15" x14ac:dyDescent="0.25">
      <c r="I563" s="14">
        <f>MATCH(J563,J:J,0)</f>
        <v>27</v>
      </c>
      <c r="J563" s="14" t="s">
        <v>207</v>
      </c>
      <c r="M563">
        <f>IF(Tabela1[[#This Row],[Qtd Filhos]]&gt;=8,1,0)</f>
        <v>0</v>
      </c>
      <c r="N563">
        <f>IF(Tabela1[[#This Row],[Idade]]&gt;50,1,0)</f>
        <v>0</v>
      </c>
      <c r="O563">
        <f>YEAR(Tabela1[[#This Row],[Data Nasc.]])</f>
        <v>1994</v>
      </c>
    </row>
    <row r="564" spans="9:15" x14ac:dyDescent="0.25">
      <c r="I564" s="14">
        <f>MATCH(J564,J:J,0)</f>
        <v>124</v>
      </c>
      <c r="J564" s="14" t="s">
        <v>199</v>
      </c>
      <c r="M564">
        <f>IF(Tabela1[[#This Row],[Qtd Filhos]]&gt;=8,1,0)</f>
        <v>1</v>
      </c>
      <c r="N564">
        <f>IF(Tabela1[[#This Row],[Idade]]&gt;50,1,0)</f>
        <v>0</v>
      </c>
      <c r="O564">
        <f>YEAR(Tabela1[[#This Row],[Data Nasc.]])</f>
        <v>1977</v>
      </c>
    </row>
    <row r="565" spans="9:15" x14ac:dyDescent="0.25">
      <c r="I565" s="14">
        <f>MATCH(J565,J:J,0)</f>
        <v>292</v>
      </c>
      <c r="J565" s="14" t="s">
        <v>177</v>
      </c>
      <c r="M565">
        <f>IF(Tabela1[[#This Row],[Qtd Filhos]]&gt;=8,1,0)</f>
        <v>0</v>
      </c>
      <c r="N565">
        <f>IF(Tabela1[[#This Row],[Idade]]&gt;50,1,0)</f>
        <v>0</v>
      </c>
      <c r="O565">
        <f>YEAR(Tabela1[[#This Row],[Data Nasc.]])</f>
        <v>2008</v>
      </c>
    </row>
    <row r="566" spans="9:15" x14ac:dyDescent="0.25">
      <c r="I566" s="14">
        <f>MATCH(J566,J:J,0)</f>
        <v>10</v>
      </c>
      <c r="J566" s="14" t="s">
        <v>152</v>
      </c>
      <c r="M566">
        <f>IF(Tabela1[[#This Row],[Qtd Filhos]]&gt;=8,1,0)</f>
        <v>0</v>
      </c>
      <c r="N566">
        <f>IF(Tabela1[[#This Row],[Idade]]&gt;50,1,0)</f>
        <v>0</v>
      </c>
      <c r="O566">
        <f>YEAR(Tabela1[[#This Row],[Data Nasc.]])</f>
        <v>1982</v>
      </c>
    </row>
    <row r="567" spans="9:15" x14ac:dyDescent="0.25">
      <c r="I567" s="14">
        <f>MATCH(J567,J:J,0)</f>
        <v>81</v>
      </c>
      <c r="J567" s="14" t="s">
        <v>86</v>
      </c>
      <c r="M567">
        <f>IF(Tabela1[[#This Row],[Qtd Filhos]]&gt;=8,1,0)</f>
        <v>0</v>
      </c>
      <c r="N567">
        <f>IF(Tabela1[[#This Row],[Idade]]&gt;50,1,0)</f>
        <v>0</v>
      </c>
      <c r="O567">
        <f>YEAR(Tabela1[[#This Row],[Data Nasc.]])</f>
        <v>1999</v>
      </c>
    </row>
    <row r="568" spans="9:15" x14ac:dyDescent="0.25">
      <c r="I568" s="14">
        <f>MATCH(J568,J:J,0)</f>
        <v>158</v>
      </c>
      <c r="J568" s="14" t="s">
        <v>112</v>
      </c>
      <c r="M568">
        <f>IF(Tabela1[[#This Row],[Qtd Filhos]]&gt;=8,1,0)</f>
        <v>0</v>
      </c>
      <c r="N568">
        <f>IF(Tabela1[[#This Row],[Idade]]&gt;50,1,0)</f>
        <v>1</v>
      </c>
      <c r="O568">
        <f>YEAR(Tabela1[[#This Row],[Data Nasc.]])</f>
        <v>1961</v>
      </c>
    </row>
    <row r="569" spans="9:15" x14ac:dyDescent="0.25">
      <c r="I569" s="14">
        <f>MATCH(J569,J:J,0)</f>
        <v>10</v>
      </c>
      <c r="J569" s="14" t="s">
        <v>152</v>
      </c>
      <c r="M569">
        <f>IF(Tabela1[[#This Row],[Qtd Filhos]]&gt;=8,1,0)</f>
        <v>0</v>
      </c>
      <c r="N569">
        <f>IF(Tabela1[[#This Row],[Idade]]&gt;50,1,0)</f>
        <v>0</v>
      </c>
      <c r="O569">
        <f>YEAR(Tabela1[[#This Row],[Data Nasc.]])</f>
        <v>1985</v>
      </c>
    </row>
    <row r="570" spans="9:15" x14ac:dyDescent="0.25">
      <c r="I570" s="14">
        <f>MATCH(J570,J:J,0)</f>
        <v>27</v>
      </c>
      <c r="J570" s="14" t="s">
        <v>207</v>
      </c>
      <c r="M570">
        <f>IF(Tabela1[[#This Row],[Qtd Filhos]]&gt;=8,1,0)</f>
        <v>0</v>
      </c>
      <c r="N570">
        <f>IF(Tabela1[[#This Row],[Idade]]&gt;50,1,0)</f>
        <v>0</v>
      </c>
      <c r="O570">
        <f>YEAR(Tabela1[[#This Row],[Data Nasc.]])</f>
        <v>1982</v>
      </c>
    </row>
    <row r="571" spans="9:15" x14ac:dyDescent="0.25">
      <c r="I571" s="14">
        <f>MATCH(J571,J:J,0)</f>
        <v>109</v>
      </c>
      <c r="J571" s="14" t="s">
        <v>190</v>
      </c>
      <c r="M571">
        <f>IF(Tabela1[[#This Row],[Qtd Filhos]]&gt;=8,1,0)</f>
        <v>0</v>
      </c>
      <c r="N571">
        <f>IF(Tabela1[[#This Row],[Idade]]&gt;50,1,0)</f>
        <v>1</v>
      </c>
      <c r="O571">
        <f>YEAR(Tabela1[[#This Row],[Data Nasc.]])</f>
        <v>1971</v>
      </c>
    </row>
    <row r="572" spans="9:15" x14ac:dyDescent="0.25">
      <c r="I572" s="14">
        <f>MATCH(J572,J:J,0)</f>
        <v>66</v>
      </c>
      <c r="J572" s="14" t="s">
        <v>139</v>
      </c>
      <c r="M572">
        <f>IF(Tabela1[[#This Row],[Qtd Filhos]]&gt;=8,1,0)</f>
        <v>0</v>
      </c>
      <c r="N572">
        <f>IF(Tabela1[[#This Row],[Idade]]&gt;50,1,0)</f>
        <v>1</v>
      </c>
      <c r="O572">
        <f>YEAR(Tabela1[[#This Row],[Data Nasc.]])</f>
        <v>1961</v>
      </c>
    </row>
    <row r="573" spans="9:15" x14ac:dyDescent="0.25">
      <c r="I573" s="14">
        <f>MATCH(J573,J:J,0)</f>
        <v>8</v>
      </c>
      <c r="J573" s="14" t="s">
        <v>192</v>
      </c>
      <c r="M573">
        <f>IF(Tabela1[[#This Row],[Qtd Filhos]]&gt;=8,1,0)</f>
        <v>0</v>
      </c>
      <c r="N573">
        <f>IF(Tabela1[[#This Row],[Idade]]&gt;50,1,0)</f>
        <v>0</v>
      </c>
      <c r="O573">
        <f>YEAR(Tabela1[[#This Row],[Data Nasc.]])</f>
        <v>2002</v>
      </c>
    </row>
    <row r="574" spans="9:15" x14ac:dyDescent="0.25">
      <c r="I574" s="14">
        <f>MATCH(J574,J:J,0)</f>
        <v>131</v>
      </c>
      <c r="J574" s="14" t="s">
        <v>259</v>
      </c>
      <c r="M574">
        <f>IF(Tabela1[[#This Row],[Qtd Filhos]]&gt;=8,1,0)</f>
        <v>0</v>
      </c>
      <c r="N574">
        <f>IF(Tabela1[[#This Row],[Idade]]&gt;50,1,0)</f>
        <v>0</v>
      </c>
      <c r="O574">
        <f>YEAR(Tabela1[[#This Row],[Data Nasc.]])</f>
        <v>1983</v>
      </c>
    </row>
    <row r="575" spans="9:15" x14ac:dyDescent="0.25">
      <c r="I575" s="14">
        <f>MATCH(J575,J:J,0)</f>
        <v>278</v>
      </c>
      <c r="J575" s="14" t="s">
        <v>267</v>
      </c>
      <c r="M575">
        <f>IF(Tabela1[[#This Row],[Qtd Filhos]]&gt;=8,1,0)</f>
        <v>0</v>
      </c>
      <c r="N575">
        <f>IF(Tabela1[[#This Row],[Idade]]&gt;50,1,0)</f>
        <v>1</v>
      </c>
      <c r="O575">
        <f>YEAR(Tabela1[[#This Row],[Data Nasc.]])</f>
        <v>1962</v>
      </c>
    </row>
    <row r="576" spans="9:15" x14ac:dyDescent="0.25">
      <c r="I576" s="14">
        <f>MATCH(J576,J:J,0)</f>
        <v>87</v>
      </c>
      <c r="J576" s="14" t="s">
        <v>95</v>
      </c>
      <c r="M576">
        <f>IF(Tabela1[[#This Row],[Qtd Filhos]]&gt;=8,1,0)</f>
        <v>0</v>
      </c>
      <c r="N576">
        <f>IF(Tabela1[[#This Row],[Idade]]&gt;50,1,0)</f>
        <v>1</v>
      </c>
      <c r="O576">
        <f>YEAR(Tabela1[[#This Row],[Data Nasc.]])</f>
        <v>1971</v>
      </c>
    </row>
    <row r="577" spans="9:15" x14ac:dyDescent="0.25">
      <c r="I577" s="14">
        <f>MATCH(J577,J:J,0)</f>
        <v>477</v>
      </c>
      <c r="J577" s="14" t="s">
        <v>269</v>
      </c>
      <c r="M577">
        <f>IF(Tabela1[[#This Row],[Qtd Filhos]]&gt;=8,1,0)</f>
        <v>0</v>
      </c>
      <c r="N577">
        <f>IF(Tabela1[[#This Row],[Idade]]&gt;50,1,0)</f>
        <v>0</v>
      </c>
      <c r="O577">
        <f>YEAR(Tabela1[[#This Row],[Data Nasc.]])</f>
        <v>2005</v>
      </c>
    </row>
    <row r="578" spans="9:15" x14ac:dyDescent="0.25">
      <c r="I578" s="14">
        <f>MATCH(J578,J:J,0)</f>
        <v>114</v>
      </c>
      <c r="J578" s="14" t="s">
        <v>168</v>
      </c>
      <c r="M578">
        <f>IF(Tabela1[[#This Row],[Qtd Filhos]]&gt;=8,1,0)</f>
        <v>0</v>
      </c>
      <c r="N578">
        <f>IF(Tabela1[[#This Row],[Idade]]&gt;50,1,0)</f>
        <v>0</v>
      </c>
      <c r="O578">
        <f>YEAR(Tabela1[[#This Row],[Data Nasc.]])</f>
        <v>1979</v>
      </c>
    </row>
    <row r="579" spans="9:15" x14ac:dyDescent="0.25">
      <c r="I579" s="14">
        <f>MATCH(J579,J:J,0)</f>
        <v>238</v>
      </c>
      <c r="J579" s="14" t="s">
        <v>93</v>
      </c>
      <c r="M579">
        <f>IF(Tabela1[[#This Row],[Qtd Filhos]]&gt;=8,1,0)</f>
        <v>0</v>
      </c>
      <c r="N579">
        <f>IF(Tabela1[[#This Row],[Idade]]&gt;50,1,0)</f>
        <v>0</v>
      </c>
      <c r="O579">
        <f>YEAR(Tabela1[[#This Row],[Data Nasc.]])</f>
        <v>1976</v>
      </c>
    </row>
    <row r="580" spans="9:15" x14ac:dyDescent="0.25">
      <c r="I580" s="14">
        <f>MATCH(J580,J:J,0)</f>
        <v>153</v>
      </c>
      <c r="J580" s="14" t="s">
        <v>277</v>
      </c>
      <c r="M580">
        <f>IF(Tabela1[[#This Row],[Qtd Filhos]]&gt;=8,1,0)</f>
        <v>0</v>
      </c>
      <c r="N580">
        <f>IF(Tabela1[[#This Row],[Idade]]&gt;50,1,0)</f>
        <v>0</v>
      </c>
      <c r="O580">
        <f>YEAR(Tabela1[[#This Row],[Data Nasc.]])</f>
        <v>1986</v>
      </c>
    </row>
    <row r="581" spans="9:15" x14ac:dyDescent="0.25">
      <c r="I581" s="14">
        <f>MATCH(J581,J:J,0)</f>
        <v>377</v>
      </c>
      <c r="J581" s="14" t="s">
        <v>46</v>
      </c>
      <c r="M581">
        <f>IF(Tabela1[[#This Row],[Qtd Filhos]]&gt;=8,1,0)</f>
        <v>0</v>
      </c>
      <c r="N581">
        <f>IF(Tabela1[[#This Row],[Idade]]&gt;50,1,0)</f>
        <v>1</v>
      </c>
      <c r="O581">
        <f>YEAR(Tabela1[[#This Row],[Data Nasc.]])</f>
        <v>1969</v>
      </c>
    </row>
    <row r="582" spans="9:15" x14ac:dyDescent="0.25">
      <c r="I582" s="14">
        <f>MATCH(J582,J:J,0)</f>
        <v>72</v>
      </c>
      <c r="J582" s="14" t="s">
        <v>179</v>
      </c>
      <c r="M582">
        <f>IF(Tabela1[[#This Row],[Qtd Filhos]]&gt;=8,1,0)</f>
        <v>0</v>
      </c>
      <c r="N582">
        <f>IF(Tabela1[[#This Row],[Idade]]&gt;50,1,0)</f>
        <v>0</v>
      </c>
      <c r="O582">
        <f>YEAR(Tabela1[[#This Row],[Data Nasc.]])</f>
        <v>1985</v>
      </c>
    </row>
    <row r="583" spans="9:15" x14ac:dyDescent="0.25">
      <c r="I583" s="14">
        <f>MATCH(J583,J:J,0)</f>
        <v>10</v>
      </c>
      <c r="J583" s="14" t="s">
        <v>152</v>
      </c>
      <c r="M583">
        <f>IF(Tabela1[[#This Row],[Qtd Filhos]]&gt;=8,1,0)</f>
        <v>0</v>
      </c>
      <c r="N583">
        <f>IF(Tabela1[[#This Row],[Idade]]&gt;50,1,0)</f>
        <v>0</v>
      </c>
      <c r="O583">
        <f>YEAR(Tabela1[[#This Row],[Data Nasc.]])</f>
        <v>2005</v>
      </c>
    </row>
    <row r="584" spans="9:15" x14ac:dyDescent="0.25">
      <c r="I584" s="14">
        <f>MATCH(J584,J:J,0)</f>
        <v>11</v>
      </c>
      <c r="J584" s="14" t="s">
        <v>166</v>
      </c>
      <c r="M584">
        <f>IF(Tabela1[[#This Row],[Qtd Filhos]]&gt;=8,1,0)</f>
        <v>0</v>
      </c>
      <c r="N584">
        <f>IF(Tabela1[[#This Row],[Idade]]&gt;50,1,0)</f>
        <v>0</v>
      </c>
      <c r="O584">
        <f>YEAR(Tabela1[[#This Row],[Data Nasc.]])</f>
        <v>1989</v>
      </c>
    </row>
    <row r="585" spans="9:15" x14ac:dyDescent="0.25">
      <c r="I585" s="14">
        <f>MATCH(J585,J:J,0)</f>
        <v>116</v>
      </c>
      <c r="J585" s="14" t="s">
        <v>76</v>
      </c>
      <c r="M585">
        <f>IF(Tabela1[[#This Row],[Qtd Filhos]]&gt;=8,1,0)</f>
        <v>0</v>
      </c>
      <c r="N585">
        <f>IF(Tabela1[[#This Row],[Idade]]&gt;50,1,0)</f>
        <v>1</v>
      </c>
      <c r="O585">
        <f>YEAR(Tabela1[[#This Row],[Data Nasc.]])</f>
        <v>1963</v>
      </c>
    </row>
    <row r="586" spans="9:15" x14ac:dyDescent="0.25">
      <c r="I586" s="14">
        <f>MATCH(J586,J:J,0)</f>
        <v>134</v>
      </c>
      <c r="J586" s="14" t="s">
        <v>141</v>
      </c>
      <c r="M586">
        <f>IF(Tabela1[[#This Row],[Qtd Filhos]]&gt;=8,1,0)</f>
        <v>0</v>
      </c>
      <c r="N586">
        <f>IF(Tabela1[[#This Row],[Idade]]&gt;50,1,0)</f>
        <v>0</v>
      </c>
      <c r="O586">
        <f>YEAR(Tabela1[[#This Row],[Data Nasc.]])</f>
        <v>2005</v>
      </c>
    </row>
    <row r="587" spans="9:15" x14ac:dyDescent="0.25">
      <c r="I587" s="14">
        <f>MATCH(J587,J:J,0)</f>
        <v>46</v>
      </c>
      <c r="J587" s="14" t="s">
        <v>52</v>
      </c>
      <c r="M587">
        <f>IF(Tabela1[[#This Row],[Qtd Filhos]]&gt;=8,1,0)</f>
        <v>0</v>
      </c>
      <c r="N587">
        <f>IF(Tabela1[[#This Row],[Idade]]&gt;50,1,0)</f>
        <v>1</v>
      </c>
      <c r="O587">
        <f>YEAR(Tabela1[[#This Row],[Data Nasc.]])</f>
        <v>1974</v>
      </c>
    </row>
    <row r="588" spans="9:15" x14ac:dyDescent="0.25">
      <c r="I588" s="14">
        <f>MATCH(J588,J:J,0)</f>
        <v>230</v>
      </c>
      <c r="J588" s="14" t="s">
        <v>216</v>
      </c>
      <c r="M588">
        <f>IF(Tabela1[[#This Row],[Qtd Filhos]]&gt;=8,1,0)</f>
        <v>0</v>
      </c>
      <c r="N588">
        <f>IF(Tabela1[[#This Row],[Idade]]&gt;50,1,0)</f>
        <v>1</v>
      </c>
      <c r="O588">
        <f>YEAR(Tabela1[[#This Row],[Data Nasc.]])</f>
        <v>1965</v>
      </c>
    </row>
    <row r="589" spans="9:15" x14ac:dyDescent="0.25">
      <c r="I589" s="14">
        <f>MATCH(J589,J:J,0)</f>
        <v>5</v>
      </c>
      <c r="J589" s="14" t="s">
        <v>171</v>
      </c>
      <c r="M589">
        <f>IF(Tabela1[[#This Row],[Qtd Filhos]]&gt;=8,1,0)</f>
        <v>0</v>
      </c>
      <c r="N589">
        <f>IF(Tabela1[[#This Row],[Idade]]&gt;50,1,0)</f>
        <v>1</v>
      </c>
      <c r="O589">
        <f>YEAR(Tabela1[[#This Row],[Data Nasc.]])</f>
        <v>1973</v>
      </c>
    </row>
    <row r="590" spans="9:15" x14ac:dyDescent="0.25">
      <c r="I590" s="14">
        <f>MATCH(J590,J:J,0)</f>
        <v>260</v>
      </c>
      <c r="J590" s="14" t="s">
        <v>182</v>
      </c>
      <c r="M590">
        <f>IF(Tabela1[[#This Row],[Qtd Filhos]]&gt;=8,1,0)</f>
        <v>0</v>
      </c>
      <c r="N590">
        <f>IF(Tabela1[[#This Row],[Idade]]&gt;50,1,0)</f>
        <v>0</v>
      </c>
      <c r="O590">
        <f>YEAR(Tabela1[[#This Row],[Data Nasc.]])</f>
        <v>1997</v>
      </c>
    </row>
    <row r="591" spans="9:15" x14ac:dyDescent="0.25">
      <c r="I591" s="14">
        <f>MATCH(J591,J:J,0)</f>
        <v>477</v>
      </c>
      <c r="J591" s="14" t="s">
        <v>269</v>
      </c>
      <c r="M591">
        <f>IF(Tabela1[[#This Row],[Qtd Filhos]]&gt;=8,1,0)</f>
        <v>0</v>
      </c>
      <c r="N591">
        <f>IF(Tabela1[[#This Row],[Idade]]&gt;50,1,0)</f>
        <v>0</v>
      </c>
      <c r="O591">
        <f>YEAR(Tabela1[[#This Row],[Data Nasc.]])</f>
        <v>1988</v>
      </c>
    </row>
    <row r="592" spans="9:15" x14ac:dyDescent="0.25">
      <c r="I592" s="14">
        <f>MATCH(J592,J:J,0)</f>
        <v>9</v>
      </c>
      <c r="J592" s="14" t="s">
        <v>229</v>
      </c>
      <c r="M592">
        <f>IF(Tabela1[[#This Row],[Qtd Filhos]]&gt;=8,1,0)</f>
        <v>0</v>
      </c>
      <c r="N592">
        <f>IF(Tabela1[[#This Row],[Idade]]&gt;50,1,0)</f>
        <v>0</v>
      </c>
      <c r="O592">
        <f>YEAR(Tabela1[[#This Row],[Data Nasc.]])</f>
        <v>1976</v>
      </c>
    </row>
    <row r="593" spans="9:15" x14ac:dyDescent="0.25">
      <c r="I593" s="14">
        <f>MATCH(J593,J:J,0)</f>
        <v>72</v>
      </c>
      <c r="J593" s="14" t="s">
        <v>179</v>
      </c>
      <c r="M593">
        <f>IF(Tabela1[[#This Row],[Qtd Filhos]]&gt;=8,1,0)</f>
        <v>0</v>
      </c>
      <c r="N593">
        <f>IF(Tabela1[[#This Row],[Idade]]&gt;50,1,0)</f>
        <v>0</v>
      </c>
      <c r="O593">
        <f>YEAR(Tabela1[[#This Row],[Data Nasc.]])</f>
        <v>1990</v>
      </c>
    </row>
    <row r="594" spans="9:15" x14ac:dyDescent="0.25">
      <c r="I594" s="14">
        <f>MATCH(J594,J:J,0)</f>
        <v>4</v>
      </c>
      <c r="J594" s="14" t="s">
        <v>281</v>
      </c>
      <c r="M594">
        <f>IF(Tabela1[[#This Row],[Qtd Filhos]]&gt;=8,1,0)</f>
        <v>0</v>
      </c>
      <c r="N594">
        <f>IF(Tabela1[[#This Row],[Idade]]&gt;50,1,0)</f>
        <v>1</v>
      </c>
      <c r="O594">
        <f>YEAR(Tabela1[[#This Row],[Data Nasc.]])</f>
        <v>1973</v>
      </c>
    </row>
    <row r="595" spans="9:15" x14ac:dyDescent="0.25">
      <c r="I595" s="14">
        <f>MATCH(J595,J:J,0)</f>
        <v>202</v>
      </c>
      <c r="J595" s="14" t="s">
        <v>218</v>
      </c>
      <c r="M595">
        <f>IF(Tabela1[[#This Row],[Qtd Filhos]]&gt;=8,1,0)</f>
        <v>0</v>
      </c>
      <c r="N595">
        <f>IF(Tabela1[[#This Row],[Idade]]&gt;50,1,0)</f>
        <v>0</v>
      </c>
      <c r="O595">
        <f>YEAR(Tabela1[[#This Row],[Data Nasc.]])</f>
        <v>1977</v>
      </c>
    </row>
    <row r="596" spans="9:15" x14ac:dyDescent="0.25">
      <c r="I596" s="14">
        <f>MATCH(J596,J:J,0)</f>
        <v>114</v>
      </c>
      <c r="J596" s="14" t="s">
        <v>168</v>
      </c>
      <c r="M596">
        <f>IF(Tabela1[[#This Row],[Qtd Filhos]]&gt;=8,1,0)</f>
        <v>0</v>
      </c>
      <c r="N596">
        <f>IF(Tabela1[[#This Row],[Idade]]&gt;50,1,0)</f>
        <v>0</v>
      </c>
      <c r="O596">
        <f>YEAR(Tabela1[[#This Row],[Data Nasc.]])</f>
        <v>1978</v>
      </c>
    </row>
    <row r="597" spans="9:15" x14ac:dyDescent="0.25">
      <c r="I597" s="14">
        <f>MATCH(J597,J:J,0)</f>
        <v>134</v>
      </c>
      <c r="J597" s="14" t="s">
        <v>141</v>
      </c>
      <c r="M597">
        <f>IF(Tabela1[[#This Row],[Qtd Filhos]]&gt;=8,1,0)</f>
        <v>0</v>
      </c>
      <c r="N597">
        <f>IF(Tabela1[[#This Row],[Idade]]&gt;50,1,0)</f>
        <v>1</v>
      </c>
      <c r="O597">
        <f>YEAR(Tabela1[[#This Row],[Data Nasc.]])</f>
        <v>1963</v>
      </c>
    </row>
    <row r="598" spans="9:15" x14ac:dyDescent="0.25">
      <c r="I598" s="14">
        <f>MATCH(J598,J:J,0)</f>
        <v>6</v>
      </c>
      <c r="J598" s="14" t="s">
        <v>289</v>
      </c>
      <c r="M598">
        <f>IF(Tabela1[[#This Row],[Qtd Filhos]]&gt;=8,1,0)</f>
        <v>0</v>
      </c>
      <c r="N598">
        <f>IF(Tabela1[[#This Row],[Idade]]&gt;50,1,0)</f>
        <v>0</v>
      </c>
      <c r="O598">
        <f>YEAR(Tabela1[[#This Row],[Data Nasc.]])</f>
        <v>1978</v>
      </c>
    </row>
    <row r="599" spans="9:15" x14ac:dyDescent="0.25">
      <c r="I599" s="14">
        <f>MATCH(J599,J:J,0)</f>
        <v>30</v>
      </c>
      <c r="J599" s="14" t="s">
        <v>158</v>
      </c>
      <c r="M599">
        <f>IF(Tabela1[[#This Row],[Qtd Filhos]]&gt;=8,1,0)</f>
        <v>0</v>
      </c>
      <c r="N599">
        <f>IF(Tabela1[[#This Row],[Idade]]&gt;50,1,0)</f>
        <v>0</v>
      </c>
      <c r="O599">
        <f>YEAR(Tabela1[[#This Row],[Data Nasc.]])</f>
        <v>1977</v>
      </c>
    </row>
    <row r="600" spans="9:15" x14ac:dyDescent="0.25">
      <c r="I600" s="14">
        <f>MATCH(J600,J:J,0)</f>
        <v>238</v>
      </c>
      <c r="J600" s="14" t="s">
        <v>93</v>
      </c>
      <c r="M600">
        <f>IF(Tabela1[[#This Row],[Qtd Filhos]]&gt;=8,1,0)</f>
        <v>0</v>
      </c>
      <c r="N600">
        <f>IF(Tabela1[[#This Row],[Idade]]&gt;50,1,0)</f>
        <v>1</v>
      </c>
      <c r="O600">
        <f>YEAR(Tabela1[[#This Row],[Data Nasc.]])</f>
        <v>1973</v>
      </c>
    </row>
    <row r="601" spans="9:15" x14ac:dyDescent="0.25">
      <c r="I601" s="14">
        <f>MATCH(J601,J:J,0)</f>
        <v>100</v>
      </c>
      <c r="J601" s="14" t="s">
        <v>238</v>
      </c>
      <c r="M601">
        <f>IF(Tabela1[[#This Row],[Qtd Filhos]]&gt;=8,1,0)</f>
        <v>0</v>
      </c>
      <c r="N601">
        <f>IF(Tabela1[[#This Row],[Idade]]&gt;50,1,0)</f>
        <v>0</v>
      </c>
      <c r="O601">
        <f>YEAR(Tabela1[[#This Row],[Data Nasc.]])</f>
        <v>2001</v>
      </c>
    </row>
    <row r="602" spans="9:15" x14ac:dyDescent="0.25">
      <c r="I602" s="14">
        <f>MATCH(J602,J:J,0)</f>
        <v>153</v>
      </c>
      <c r="J602" s="14" t="s">
        <v>277</v>
      </c>
      <c r="M602">
        <f>IF(Tabela1[[#This Row],[Qtd Filhos]]&gt;=8,1,0)</f>
        <v>0</v>
      </c>
      <c r="N602">
        <f>IF(Tabela1[[#This Row],[Idade]]&gt;50,1,0)</f>
        <v>0</v>
      </c>
      <c r="O602">
        <f>YEAR(Tabela1[[#This Row],[Data Nasc.]])</f>
        <v>1992</v>
      </c>
    </row>
    <row r="603" spans="9:15" x14ac:dyDescent="0.25">
      <c r="I603" s="14">
        <f>MATCH(J603,J:J,0)</f>
        <v>131</v>
      </c>
      <c r="J603" s="14" t="s">
        <v>259</v>
      </c>
      <c r="M603">
        <f>IF(Tabela1[[#This Row],[Qtd Filhos]]&gt;=8,1,0)</f>
        <v>0</v>
      </c>
      <c r="N603">
        <f>IF(Tabela1[[#This Row],[Idade]]&gt;50,1,0)</f>
        <v>1</v>
      </c>
      <c r="O603">
        <f>YEAR(Tabela1[[#This Row],[Data Nasc.]])</f>
        <v>1964</v>
      </c>
    </row>
    <row r="604" spans="9:15" x14ac:dyDescent="0.25">
      <c r="I604" s="14">
        <f>MATCH(J604,J:J,0)</f>
        <v>14</v>
      </c>
      <c r="J604" s="14" t="s">
        <v>184</v>
      </c>
      <c r="M604">
        <f>IF(Tabela1[[#This Row],[Qtd Filhos]]&gt;=8,1,0)</f>
        <v>0</v>
      </c>
      <c r="N604">
        <f>IF(Tabela1[[#This Row],[Idade]]&gt;50,1,0)</f>
        <v>0</v>
      </c>
      <c r="O604">
        <f>YEAR(Tabela1[[#This Row],[Data Nasc.]])</f>
        <v>2002</v>
      </c>
    </row>
    <row r="605" spans="9:15" x14ac:dyDescent="0.25">
      <c r="I605" s="14">
        <f>MATCH(J605,J:J,0)</f>
        <v>332</v>
      </c>
      <c r="J605" s="14" t="s">
        <v>291</v>
      </c>
      <c r="M605">
        <f>IF(Tabela1[[#This Row],[Qtd Filhos]]&gt;=8,1,0)</f>
        <v>0</v>
      </c>
      <c r="N605">
        <f>IF(Tabela1[[#This Row],[Idade]]&gt;50,1,0)</f>
        <v>0</v>
      </c>
      <c r="O605">
        <f>YEAR(Tabela1[[#This Row],[Data Nasc.]])</f>
        <v>1989</v>
      </c>
    </row>
    <row r="606" spans="9:15" x14ac:dyDescent="0.25">
      <c r="I606" s="14">
        <f>MATCH(J606,J:J,0)</f>
        <v>143</v>
      </c>
      <c r="J606" s="14" t="s">
        <v>233</v>
      </c>
      <c r="M606">
        <f>IF(Tabela1[[#This Row],[Qtd Filhos]]&gt;=8,1,0)</f>
        <v>0</v>
      </c>
      <c r="N606">
        <f>IF(Tabela1[[#This Row],[Idade]]&gt;50,1,0)</f>
        <v>0</v>
      </c>
      <c r="O606">
        <f>YEAR(Tabela1[[#This Row],[Data Nasc.]])</f>
        <v>1987</v>
      </c>
    </row>
    <row r="607" spans="9:15" x14ac:dyDescent="0.25">
      <c r="I607" s="14">
        <f>MATCH(J607,J:J,0)</f>
        <v>34</v>
      </c>
      <c r="J607" s="14" t="s">
        <v>235</v>
      </c>
      <c r="M607">
        <f>IF(Tabela1[[#This Row],[Qtd Filhos]]&gt;=8,1,0)</f>
        <v>0</v>
      </c>
      <c r="N607">
        <f>IF(Tabela1[[#This Row],[Idade]]&gt;50,1,0)</f>
        <v>0</v>
      </c>
      <c r="O607">
        <f>YEAR(Tabela1[[#This Row],[Data Nasc.]])</f>
        <v>1996</v>
      </c>
    </row>
    <row r="608" spans="9:15" x14ac:dyDescent="0.25">
      <c r="I608" s="14">
        <f>MATCH(J608,J:J,0)</f>
        <v>34</v>
      </c>
      <c r="J608" s="14" t="s">
        <v>235</v>
      </c>
      <c r="M608">
        <f>IF(Tabela1[[#This Row],[Qtd Filhos]]&gt;=8,1,0)</f>
        <v>1</v>
      </c>
      <c r="N608">
        <f>IF(Tabela1[[#This Row],[Idade]]&gt;50,1,0)</f>
        <v>0</v>
      </c>
      <c r="O608">
        <f>YEAR(Tabela1[[#This Row],[Data Nasc.]])</f>
        <v>1994</v>
      </c>
    </row>
    <row r="609" spans="9:15" x14ac:dyDescent="0.25">
      <c r="I609" s="14">
        <f>MATCH(J609,J:J,0)</f>
        <v>68</v>
      </c>
      <c r="J609" s="14" t="s">
        <v>285</v>
      </c>
      <c r="M609">
        <f>IF(Tabela1[[#This Row],[Qtd Filhos]]&gt;=8,1,0)</f>
        <v>0</v>
      </c>
      <c r="N609">
        <f>IF(Tabela1[[#This Row],[Idade]]&gt;50,1,0)</f>
        <v>0</v>
      </c>
      <c r="O609">
        <f>YEAR(Tabela1[[#This Row],[Data Nasc.]])</f>
        <v>1984</v>
      </c>
    </row>
    <row r="610" spans="9:15" x14ac:dyDescent="0.25">
      <c r="I610" s="14">
        <f>MATCH(J610,J:J,0)</f>
        <v>72</v>
      </c>
      <c r="J610" s="14" t="s">
        <v>179</v>
      </c>
      <c r="M610">
        <f>IF(Tabela1[[#This Row],[Qtd Filhos]]&gt;=8,1,0)</f>
        <v>0</v>
      </c>
      <c r="N610">
        <f>IF(Tabela1[[#This Row],[Idade]]&gt;50,1,0)</f>
        <v>0</v>
      </c>
      <c r="O610">
        <f>YEAR(Tabela1[[#This Row],[Data Nasc.]])</f>
        <v>2002</v>
      </c>
    </row>
    <row r="611" spans="9:15" x14ac:dyDescent="0.25">
      <c r="I611" s="14">
        <f>MATCH(J611,J:J,0)</f>
        <v>71</v>
      </c>
      <c r="J611" s="14" t="s">
        <v>134</v>
      </c>
      <c r="M611">
        <f>IF(Tabela1[[#This Row],[Qtd Filhos]]&gt;=8,1,0)</f>
        <v>0</v>
      </c>
      <c r="N611">
        <f>IF(Tabela1[[#This Row],[Idade]]&gt;50,1,0)</f>
        <v>1</v>
      </c>
      <c r="O611">
        <f>YEAR(Tabela1[[#This Row],[Data Nasc.]])</f>
        <v>1965</v>
      </c>
    </row>
    <row r="612" spans="9:15" x14ac:dyDescent="0.25">
      <c r="I612" s="14">
        <f>MATCH(J612,J:J,0)</f>
        <v>32</v>
      </c>
      <c r="J612" s="14" t="s">
        <v>164</v>
      </c>
      <c r="M612">
        <f>IF(Tabela1[[#This Row],[Qtd Filhos]]&gt;=8,1,0)</f>
        <v>0</v>
      </c>
      <c r="N612">
        <f>IF(Tabela1[[#This Row],[Idade]]&gt;50,1,0)</f>
        <v>0</v>
      </c>
      <c r="O612">
        <f>YEAR(Tabela1[[#This Row],[Data Nasc.]])</f>
        <v>1977</v>
      </c>
    </row>
    <row r="613" spans="9:15" x14ac:dyDescent="0.25">
      <c r="I613" s="14">
        <f>MATCH(J613,J:J,0)</f>
        <v>14</v>
      </c>
      <c r="J613" s="14" t="s">
        <v>184</v>
      </c>
      <c r="M613">
        <f>IF(Tabela1[[#This Row],[Qtd Filhos]]&gt;=8,1,0)</f>
        <v>0</v>
      </c>
      <c r="N613">
        <f>IF(Tabela1[[#This Row],[Idade]]&gt;50,1,0)</f>
        <v>0</v>
      </c>
      <c r="O613">
        <f>YEAR(Tabela1[[#This Row],[Data Nasc.]])</f>
        <v>1983</v>
      </c>
    </row>
    <row r="614" spans="9:15" x14ac:dyDescent="0.25">
      <c r="I614" s="14">
        <f>MATCH(J614,J:J,0)</f>
        <v>30</v>
      </c>
      <c r="J614" s="14" t="s">
        <v>158</v>
      </c>
      <c r="M614">
        <f>IF(Tabela1[[#This Row],[Qtd Filhos]]&gt;=8,1,0)</f>
        <v>0</v>
      </c>
      <c r="N614">
        <f>IF(Tabela1[[#This Row],[Idade]]&gt;50,1,0)</f>
        <v>0</v>
      </c>
      <c r="O614">
        <f>YEAR(Tabela1[[#This Row],[Data Nasc.]])</f>
        <v>1977</v>
      </c>
    </row>
    <row r="615" spans="9:15" x14ac:dyDescent="0.25">
      <c r="I615" s="14">
        <f>MATCH(J615,J:J,0)</f>
        <v>345</v>
      </c>
      <c r="J615" s="14" t="s">
        <v>105</v>
      </c>
      <c r="M615">
        <f>IF(Tabela1[[#This Row],[Qtd Filhos]]&gt;=8,1,0)</f>
        <v>0</v>
      </c>
      <c r="N615">
        <f>IF(Tabela1[[#This Row],[Idade]]&gt;50,1,0)</f>
        <v>0</v>
      </c>
      <c r="O615">
        <f>YEAR(Tabela1[[#This Row],[Data Nasc.]])</f>
        <v>2002</v>
      </c>
    </row>
    <row r="616" spans="9:15" x14ac:dyDescent="0.25">
      <c r="I616" s="14">
        <f>MATCH(J616,J:J,0)</f>
        <v>5</v>
      </c>
      <c r="J616" s="14" t="s">
        <v>171</v>
      </c>
      <c r="M616">
        <f>IF(Tabela1[[#This Row],[Qtd Filhos]]&gt;=8,1,0)</f>
        <v>0</v>
      </c>
      <c r="N616">
        <f>IF(Tabela1[[#This Row],[Idade]]&gt;50,1,0)</f>
        <v>1</v>
      </c>
      <c r="O616">
        <f>YEAR(Tabela1[[#This Row],[Data Nasc.]])</f>
        <v>1968</v>
      </c>
    </row>
    <row r="617" spans="9:15" x14ac:dyDescent="0.25">
      <c r="I617" s="14">
        <f>MATCH(J617,J:J,0)</f>
        <v>256</v>
      </c>
      <c r="J617" s="14" t="s">
        <v>188</v>
      </c>
      <c r="M617">
        <f>IF(Tabela1[[#This Row],[Qtd Filhos]]&gt;=8,1,0)</f>
        <v>0</v>
      </c>
      <c r="N617">
        <f>IF(Tabela1[[#This Row],[Idade]]&gt;50,1,0)</f>
        <v>1</v>
      </c>
      <c r="O617">
        <f>YEAR(Tabela1[[#This Row],[Data Nasc.]])</f>
        <v>1969</v>
      </c>
    </row>
    <row r="618" spans="9:15" x14ac:dyDescent="0.25">
      <c r="I618" s="14">
        <f>MATCH(J618,J:J,0)</f>
        <v>25</v>
      </c>
      <c r="J618" s="14" t="s">
        <v>214</v>
      </c>
      <c r="M618">
        <f>IF(Tabela1[[#This Row],[Qtd Filhos]]&gt;=8,1,0)</f>
        <v>0</v>
      </c>
      <c r="N618">
        <f>IF(Tabela1[[#This Row],[Idade]]&gt;50,1,0)</f>
        <v>1</v>
      </c>
      <c r="O618">
        <f>YEAR(Tabela1[[#This Row],[Data Nasc.]])</f>
        <v>1965</v>
      </c>
    </row>
    <row r="619" spans="9:15" x14ac:dyDescent="0.25">
      <c r="I619" s="14">
        <f>MATCH(J619,J:J,0)</f>
        <v>45</v>
      </c>
      <c r="J619" s="14" t="s">
        <v>149</v>
      </c>
      <c r="M619">
        <f>IF(Tabela1[[#This Row],[Qtd Filhos]]&gt;=8,1,0)</f>
        <v>0</v>
      </c>
      <c r="N619">
        <f>IF(Tabela1[[#This Row],[Idade]]&gt;50,1,0)</f>
        <v>0</v>
      </c>
      <c r="O619">
        <f>YEAR(Tabela1[[#This Row],[Data Nasc.]])</f>
        <v>1998</v>
      </c>
    </row>
    <row r="620" spans="9:15" x14ac:dyDescent="0.25">
      <c r="I620" s="14">
        <f>MATCH(J620,J:J,0)</f>
        <v>288</v>
      </c>
      <c r="J620" s="14" t="s">
        <v>109</v>
      </c>
      <c r="M620">
        <f>IF(Tabela1[[#This Row],[Qtd Filhos]]&gt;=8,1,0)</f>
        <v>0</v>
      </c>
      <c r="N620">
        <f>IF(Tabela1[[#This Row],[Idade]]&gt;50,1,0)</f>
        <v>0</v>
      </c>
      <c r="O620">
        <f>YEAR(Tabela1[[#This Row],[Data Nasc.]])</f>
        <v>1977</v>
      </c>
    </row>
    <row r="621" spans="9:15" x14ac:dyDescent="0.25">
      <c r="I621" s="14">
        <f>MATCH(J621,J:J,0)</f>
        <v>288</v>
      </c>
      <c r="J621" s="14" t="s">
        <v>109</v>
      </c>
      <c r="M621">
        <f>IF(Tabela1[[#This Row],[Qtd Filhos]]&gt;=8,1,0)</f>
        <v>0</v>
      </c>
      <c r="N621">
        <f>IF(Tabela1[[#This Row],[Idade]]&gt;50,1,0)</f>
        <v>0</v>
      </c>
      <c r="O621">
        <f>YEAR(Tabela1[[#This Row],[Data Nasc.]])</f>
        <v>2005</v>
      </c>
    </row>
    <row r="622" spans="9:15" x14ac:dyDescent="0.25">
      <c r="I622" s="14">
        <f>MATCH(J622,J:J,0)</f>
        <v>30</v>
      </c>
      <c r="J622" s="14" t="s">
        <v>158</v>
      </c>
      <c r="M622">
        <f>IF(Tabela1[[#This Row],[Qtd Filhos]]&gt;=8,1,0)</f>
        <v>0</v>
      </c>
      <c r="N622">
        <f>IF(Tabela1[[#This Row],[Idade]]&gt;50,1,0)</f>
        <v>1</v>
      </c>
      <c r="O622">
        <f>YEAR(Tabela1[[#This Row],[Data Nasc.]])</f>
        <v>1966</v>
      </c>
    </row>
    <row r="623" spans="9:15" x14ac:dyDescent="0.25">
      <c r="I623" s="14">
        <f>MATCH(J623,J:J,0)</f>
        <v>129</v>
      </c>
      <c r="J623" s="14" t="s">
        <v>156</v>
      </c>
      <c r="M623">
        <f>IF(Tabela1[[#This Row],[Qtd Filhos]]&gt;=8,1,0)</f>
        <v>0</v>
      </c>
      <c r="N623">
        <f>IF(Tabela1[[#This Row],[Idade]]&gt;50,1,0)</f>
        <v>0</v>
      </c>
      <c r="O623">
        <f>YEAR(Tabela1[[#This Row],[Data Nasc.]])</f>
        <v>2008</v>
      </c>
    </row>
    <row r="624" spans="9:15" x14ac:dyDescent="0.25">
      <c r="I624" s="14">
        <f>MATCH(J624,J:J,0)</f>
        <v>4</v>
      </c>
      <c r="J624" s="14" t="s">
        <v>281</v>
      </c>
      <c r="M624">
        <f>IF(Tabela1[[#This Row],[Qtd Filhos]]&gt;=8,1,0)</f>
        <v>0</v>
      </c>
      <c r="N624">
        <f>IF(Tabela1[[#This Row],[Idade]]&gt;50,1,0)</f>
        <v>0</v>
      </c>
      <c r="O624">
        <f>YEAR(Tabela1[[#This Row],[Data Nasc.]])</f>
        <v>1979</v>
      </c>
    </row>
    <row r="625" spans="9:15" x14ac:dyDescent="0.25">
      <c r="I625" s="14">
        <f>MATCH(J625,J:J,0)</f>
        <v>129</v>
      </c>
      <c r="J625" s="14" t="s">
        <v>156</v>
      </c>
      <c r="M625">
        <f>IF(Tabela1[[#This Row],[Qtd Filhos]]&gt;=8,1,0)</f>
        <v>0</v>
      </c>
      <c r="N625">
        <f>IF(Tabela1[[#This Row],[Idade]]&gt;50,1,0)</f>
        <v>0</v>
      </c>
      <c r="O625">
        <f>YEAR(Tabela1[[#This Row],[Data Nasc.]])</f>
        <v>2007</v>
      </c>
    </row>
    <row r="626" spans="9:15" x14ac:dyDescent="0.25">
      <c r="I626" s="14">
        <f>MATCH(J626,J:J,0)</f>
        <v>55</v>
      </c>
      <c r="J626" s="14" t="s">
        <v>197</v>
      </c>
      <c r="M626">
        <f>IF(Tabela1[[#This Row],[Qtd Filhos]]&gt;=8,1,0)</f>
        <v>0</v>
      </c>
      <c r="N626">
        <f>IF(Tabela1[[#This Row],[Idade]]&gt;50,1,0)</f>
        <v>0</v>
      </c>
      <c r="O626">
        <f>YEAR(Tabela1[[#This Row],[Data Nasc.]])</f>
        <v>1990</v>
      </c>
    </row>
    <row r="627" spans="9:15" x14ac:dyDescent="0.25">
      <c r="I627" s="14">
        <f>MATCH(J627,J:J,0)</f>
        <v>21</v>
      </c>
      <c r="J627" s="14" t="s">
        <v>244</v>
      </c>
      <c r="M627">
        <f>IF(Tabela1[[#This Row],[Qtd Filhos]]&gt;=8,1,0)</f>
        <v>0</v>
      </c>
      <c r="N627">
        <f>IF(Tabela1[[#This Row],[Idade]]&gt;50,1,0)</f>
        <v>0</v>
      </c>
      <c r="O627">
        <f>YEAR(Tabela1[[#This Row],[Data Nasc.]])</f>
        <v>1988</v>
      </c>
    </row>
    <row r="628" spans="9:15" x14ac:dyDescent="0.25">
      <c r="I628" s="14">
        <f>MATCH(J628,J:J,0)</f>
        <v>153</v>
      </c>
      <c r="J628" s="14" t="s">
        <v>277</v>
      </c>
      <c r="M628">
        <f>IF(Tabela1[[#This Row],[Qtd Filhos]]&gt;=8,1,0)</f>
        <v>0</v>
      </c>
      <c r="N628">
        <f>IF(Tabela1[[#This Row],[Idade]]&gt;50,1,0)</f>
        <v>1</v>
      </c>
      <c r="O628">
        <f>YEAR(Tabela1[[#This Row],[Data Nasc.]])</f>
        <v>1962</v>
      </c>
    </row>
    <row r="629" spans="9:15" x14ac:dyDescent="0.25">
      <c r="I629" s="14">
        <f>MATCH(J629,J:J,0)</f>
        <v>126</v>
      </c>
      <c r="J629" s="14" t="s">
        <v>137</v>
      </c>
      <c r="M629">
        <f>IF(Tabela1[[#This Row],[Qtd Filhos]]&gt;=8,1,0)</f>
        <v>0</v>
      </c>
      <c r="N629">
        <f>IF(Tabela1[[#This Row],[Idade]]&gt;50,1,0)</f>
        <v>1</v>
      </c>
      <c r="O629">
        <f>YEAR(Tabela1[[#This Row],[Data Nasc.]])</f>
        <v>1963</v>
      </c>
    </row>
    <row r="630" spans="9:15" x14ac:dyDescent="0.25">
      <c r="I630" s="14">
        <f>MATCH(J630,J:J,0)</f>
        <v>98</v>
      </c>
      <c r="J630" s="14" t="s">
        <v>130</v>
      </c>
      <c r="M630">
        <f>IF(Tabela1[[#This Row],[Qtd Filhos]]&gt;=8,1,0)</f>
        <v>0</v>
      </c>
      <c r="N630">
        <f>IF(Tabela1[[#This Row],[Idade]]&gt;50,1,0)</f>
        <v>0</v>
      </c>
      <c r="O630">
        <f>YEAR(Tabela1[[#This Row],[Data Nasc.]])</f>
        <v>1989</v>
      </c>
    </row>
    <row r="631" spans="9:15" x14ac:dyDescent="0.25">
      <c r="I631" s="14">
        <f>MATCH(J631,J:J,0)</f>
        <v>158</v>
      </c>
      <c r="J631" s="14" t="s">
        <v>112</v>
      </c>
      <c r="M631">
        <f>IF(Tabela1[[#This Row],[Qtd Filhos]]&gt;=8,1,0)</f>
        <v>0</v>
      </c>
      <c r="N631">
        <f>IF(Tabela1[[#This Row],[Idade]]&gt;50,1,0)</f>
        <v>0</v>
      </c>
      <c r="O631">
        <f>YEAR(Tabela1[[#This Row],[Data Nasc.]])</f>
        <v>1980</v>
      </c>
    </row>
    <row r="632" spans="9:15" x14ac:dyDescent="0.25">
      <c r="I632" s="14">
        <f>MATCH(J632,J:J,0)</f>
        <v>158</v>
      </c>
      <c r="J632" s="14" t="s">
        <v>112</v>
      </c>
      <c r="M632">
        <f>IF(Tabela1[[#This Row],[Qtd Filhos]]&gt;=8,1,0)</f>
        <v>0</v>
      </c>
      <c r="N632">
        <f>IF(Tabela1[[#This Row],[Idade]]&gt;50,1,0)</f>
        <v>0</v>
      </c>
      <c r="O632">
        <f>YEAR(Tabela1[[#This Row],[Data Nasc.]])</f>
        <v>2006</v>
      </c>
    </row>
    <row r="633" spans="9:15" x14ac:dyDescent="0.25">
      <c r="I633" s="14">
        <f>MATCH(J633,J:J,0)</f>
        <v>17</v>
      </c>
      <c r="J633" s="14" t="s">
        <v>143</v>
      </c>
      <c r="M633">
        <f>IF(Tabela1[[#This Row],[Qtd Filhos]]&gt;=8,1,0)</f>
        <v>0</v>
      </c>
      <c r="N633">
        <f>IF(Tabela1[[#This Row],[Idade]]&gt;50,1,0)</f>
        <v>1</v>
      </c>
      <c r="O633">
        <f>YEAR(Tabela1[[#This Row],[Data Nasc.]])</f>
        <v>1961</v>
      </c>
    </row>
    <row r="634" spans="9:15" x14ac:dyDescent="0.25">
      <c r="I634" s="14">
        <f>MATCH(J634,J:J,0)</f>
        <v>332</v>
      </c>
      <c r="J634" s="14" t="s">
        <v>291</v>
      </c>
      <c r="M634">
        <f>IF(Tabela1[[#This Row],[Qtd Filhos]]&gt;=8,1,0)</f>
        <v>0</v>
      </c>
      <c r="N634">
        <f>IF(Tabela1[[#This Row],[Idade]]&gt;50,1,0)</f>
        <v>0</v>
      </c>
      <c r="O634">
        <f>YEAR(Tabela1[[#This Row],[Data Nasc.]])</f>
        <v>1997</v>
      </c>
    </row>
    <row r="635" spans="9:15" x14ac:dyDescent="0.25">
      <c r="I635" s="14">
        <f>MATCH(J635,J:J,0)</f>
        <v>241</v>
      </c>
      <c r="J635" s="14" t="s">
        <v>121</v>
      </c>
      <c r="M635">
        <f>IF(Tabela1[[#This Row],[Qtd Filhos]]&gt;=8,1,0)</f>
        <v>0</v>
      </c>
      <c r="N635">
        <f>IF(Tabela1[[#This Row],[Idade]]&gt;50,1,0)</f>
        <v>0</v>
      </c>
      <c r="O635">
        <f>YEAR(Tabela1[[#This Row],[Data Nasc.]])</f>
        <v>1976</v>
      </c>
    </row>
    <row r="636" spans="9:15" x14ac:dyDescent="0.25">
      <c r="I636" s="14">
        <f>MATCH(J636,J:J,0)</f>
        <v>239</v>
      </c>
      <c r="J636" s="14" t="s">
        <v>203</v>
      </c>
      <c r="M636">
        <f>IF(Tabela1[[#This Row],[Qtd Filhos]]&gt;=8,1,0)</f>
        <v>0</v>
      </c>
      <c r="N636">
        <f>IF(Tabela1[[#This Row],[Idade]]&gt;50,1,0)</f>
        <v>0</v>
      </c>
      <c r="O636">
        <f>YEAR(Tabela1[[#This Row],[Data Nasc.]])</f>
        <v>1999</v>
      </c>
    </row>
    <row r="637" spans="9:15" x14ac:dyDescent="0.25">
      <c r="I637" s="14">
        <f>MATCH(J637,J:J,0)</f>
        <v>63</v>
      </c>
      <c r="J637" s="14" t="s">
        <v>279</v>
      </c>
      <c r="M637">
        <f>IF(Tabela1[[#This Row],[Qtd Filhos]]&gt;=8,1,0)</f>
        <v>0</v>
      </c>
      <c r="N637">
        <f>IF(Tabela1[[#This Row],[Idade]]&gt;50,1,0)</f>
        <v>1</v>
      </c>
      <c r="O637">
        <f>YEAR(Tabela1[[#This Row],[Data Nasc.]])</f>
        <v>1974</v>
      </c>
    </row>
    <row r="638" spans="9:15" x14ac:dyDescent="0.25">
      <c r="I638" s="14">
        <f>MATCH(J638,J:J,0)</f>
        <v>69</v>
      </c>
      <c r="J638" s="14" t="s">
        <v>160</v>
      </c>
      <c r="M638">
        <f>IF(Tabela1[[#This Row],[Qtd Filhos]]&gt;=8,1,0)</f>
        <v>0</v>
      </c>
      <c r="N638">
        <f>IF(Tabela1[[#This Row],[Idade]]&gt;50,1,0)</f>
        <v>1</v>
      </c>
      <c r="O638">
        <f>YEAR(Tabela1[[#This Row],[Data Nasc.]])</f>
        <v>1963</v>
      </c>
    </row>
    <row r="639" spans="9:15" x14ac:dyDescent="0.25">
      <c r="I639" s="14">
        <f>MATCH(J639,J:J,0)</f>
        <v>71</v>
      </c>
      <c r="J639" s="14" t="s">
        <v>134</v>
      </c>
      <c r="M639">
        <f>IF(Tabela1[[#This Row],[Qtd Filhos]]&gt;=8,1,0)</f>
        <v>0</v>
      </c>
      <c r="N639">
        <f>IF(Tabela1[[#This Row],[Idade]]&gt;50,1,0)</f>
        <v>0</v>
      </c>
      <c r="O639">
        <f>YEAR(Tabela1[[#This Row],[Data Nasc.]])</f>
        <v>2001</v>
      </c>
    </row>
    <row r="640" spans="9:15" x14ac:dyDescent="0.25">
      <c r="I640" s="14">
        <f>MATCH(J640,J:J,0)</f>
        <v>17</v>
      </c>
      <c r="J640" s="14" t="s">
        <v>143</v>
      </c>
      <c r="M640">
        <f>IF(Tabela1[[#This Row],[Qtd Filhos]]&gt;=8,1,0)</f>
        <v>0</v>
      </c>
      <c r="N640">
        <f>IF(Tabela1[[#This Row],[Idade]]&gt;50,1,0)</f>
        <v>0</v>
      </c>
      <c r="O640">
        <f>YEAR(Tabela1[[#This Row],[Data Nasc.]])</f>
        <v>1985</v>
      </c>
    </row>
    <row r="641" spans="9:15" x14ac:dyDescent="0.25">
      <c r="I641" s="14">
        <f>MATCH(J641,J:J,0)</f>
        <v>5</v>
      </c>
      <c r="J641" s="14" t="s">
        <v>171</v>
      </c>
      <c r="M641">
        <f>IF(Tabela1[[#This Row],[Qtd Filhos]]&gt;=8,1,0)</f>
        <v>0</v>
      </c>
      <c r="N641">
        <f>IF(Tabela1[[#This Row],[Idade]]&gt;50,1,0)</f>
        <v>1</v>
      </c>
      <c r="O641">
        <f>YEAR(Tabela1[[#This Row],[Data Nasc.]])</f>
        <v>1974</v>
      </c>
    </row>
    <row r="642" spans="9:15" x14ac:dyDescent="0.25">
      <c r="I642" s="14">
        <f>MATCH(J642,J:J,0)</f>
        <v>68</v>
      </c>
      <c r="J642" s="14" t="s">
        <v>285</v>
      </c>
      <c r="M642">
        <f>IF(Tabela1[[#This Row],[Qtd Filhos]]&gt;=8,1,0)</f>
        <v>0</v>
      </c>
      <c r="N642">
        <f>IF(Tabela1[[#This Row],[Idade]]&gt;50,1,0)</f>
        <v>0</v>
      </c>
      <c r="O642">
        <f>YEAR(Tabela1[[#This Row],[Data Nasc.]])</f>
        <v>1999</v>
      </c>
    </row>
    <row r="643" spans="9:15" x14ac:dyDescent="0.25">
      <c r="I643" s="14">
        <f>MATCH(J643,J:J,0)</f>
        <v>83</v>
      </c>
      <c r="J643" s="14" t="s">
        <v>175</v>
      </c>
      <c r="M643">
        <f>IF(Tabela1[[#This Row],[Qtd Filhos]]&gt;=8,1,0)</f>
        <v>0</v>
      </c>
      <c r="N643">
        <f>IF(Tabela1[[#This Row],[Idade]]&gt;50,1,0)</f>
        <v>0</v>
      </c>
      <c r="O643">
        <f>YEAR(Tabela1[[#This Row],[Data Nasc.]])</f>
        <v>1990</v>
      </c>
    </row>
    <row r="644" spans="9:15" x14ac:dyDescent="0.25">
      <c r="I644" s="14">
        <f>MATCH(J644,J:J,0)</f>
        <v>21</v>
      </c>
      <c r="J644" s="14" t="s">
        <v>244</v>
      </c>
      <c r="M644">
        <f>IF(Tabela1[[#This Row],[Qtd Filhos]]&gt;=8,1,0)</f>
        <v>0</v>
      </c>
      <c r="N644">
        <f>IF(Tabela1[[#This Row],[Idade]]&gt;50,1,0)</f>
        <v>1</v>
      </c>
      <c r="O644">
        <f>YEAR(Tabela1[[#This Row],[Data Nasc.]])</f>
        <v>1963</v>
      </c>
    </row>
    <row r="645" spans="9:15" x14ac:dyDescent="0.25">
      <c r="I645" s="14">
        <f>MATCH(J645,J:J,0)</f>
        <v>29</v>
      </c>
      <c r="J645" s="14" t="s">
        <v>209</v>
      </c>
      <c r="M645">
        <f>IF(Tabela1[[#This Row],[Qtd Filhos]]&gt;=8,1,0)</f>
        <v>0</v>
      </c>
      <c r="N645">
        <f>IF(Tabela1[[#This Row],[Idade]]&gt;50,1,0)</f>
        <v>0</v>
      </c>
      <c r="O645">
        <f>YEAR(Tabela1[[#This Row],[Data Nasc.]])</f>
        <v>1999</v>
      </c>
    </row>
    <row r="646" spans="9:15" x14ac:dyDescent="0.25">
      <c r="I646" s="14">
        <f>MATCH(J646,J:J,0)</f>
        <v>230</v>
      </c>
      <c r="J646" s="14" t="s">
        <v>216</v>
      </c>
      <c r="M646">
        <f>IF(Tabela1[[#This Row],[Qtd Filhos]]&gt;=8,1,0)</f>
        <v>0</v>
      </c>
      <c r="N646">
        <f>IF(Tabela1[[#This Row],[Idade]]&gt;50,1,0)</f>
        <v>0</v>
      </c>
      <c r="O646">
        <f>YEAR(Tabela1[[#This Row],[Data Nasc.]])</f>
        <v>2001</v>
      </c>
    </row>
    <row r="647" spans="9:15" x14ac:dyDescent="0.25">
      <c r="I647" s="14">
        <f>MATCH(J647,J:J,0)</f>
        <v>109</v>
      </c>
      <c r="J647" s="14" t="s">
        <v>190</v>
      </c>
      <c r="M647">
        <f>IF(Tabela1[[#This Row],[Qtd Filhos]]&gt;=8,1,0)</f>
        <v>0</v>
      </c>
      <c r="N647">
        <f>IF(Tabela1[[#This Row],[Idade]]&gt;50,1,0)</f>
        <v>0</v>
      </c>
      <c r="O647">
        <f>YEAR(Tabela1[[#This Row],[Data Nasc.]])</f>
        <v>2007</v>
      </c>
    </row>
    <row r="648" spans="9:15" x14ac:dyDescent="0.25">
      <c r="I648" s="14">
        <f>MATCH(J648,J:J,0)</f>
        <v>158</v>
      </c>
      <c r="J648" s="14" t="s">
        <v>112</v>
      </c>
      <c r="M648">
        <f>IF(Tabela1[[#This Row],[Qtd Filhos]]&gt;=8,1,0)</f>
        <v>0</v>
      </c>
      <c r="N648">
        <f>IF(Tabela1[[#This Row],[Idade]]&gt;50,1,0)</f>
        <v>0</v>
      </c>
      <c r="O648">
        <f>YEAR(Tabela1[[#This Row],[Data Nasc.]])</f>
        <v>1986</v>
      </c>
    </row>
    <row r="649" spans="9:15" x14ac:dyDescent="0.25">
      <c r="I649" s="14">
        <f>MATCH(J649,J:J,0)</f>
        <v>8</v>
      </c>
      <c r="J649" s="14" t="s">
        <v>192</v>
      </c>
      <c r="M649">
        <f>IF(Tabela1[[#This Row],[Qtd Filhos]]&gt;=8,1,0)</f>
        <v>0</v>
      </c>
      <c r="N649">
        <f>IF(Tabela1[[#This Row],[Idade]]&gt;50,1,0)</f>
        <v>0</v>
      </c>
      <c r="O649">
        <f>YEAR(Tabela1[[#This Row],[Data Nasc.]])</f>
        <v>1985</v>
      </c>
    </row>
    <row r="650" spans="9:15" x14ac:dyDescent="0.25">
      <c r="I650" s="14">
        <f>MATCH(J650,J:J,0)</f>
        <v>91</v>
      </c>
      <c r="J650" s="14" t="s">
        <v>248</v>
      </c>
      <c r="M650">
        <f>IF(Tabela1[[#This Row],[Qtd Filhos]]&gt;=8,1,0)</f>
        <v>0</v>
      </c>
      <c r="N650">
        <f>IF(Tabela1[[#This Row],[Idade]]&gt;50,1,0)</f>
        <v>1</v>
      </c>
      <c r="O650">
        <f>YEAR(Tabela1[[#This Row],[Data Nasc.]])</f>
        <v>1972</v>
      </c>
    </row>
    <row r="651" spans="9:15" x14ac:dyDescent="0.25">
      <c r="I651" s="14">
        <f>MATCH(J651,J:J,0)</f>
        <v>230</v>
      </c>
      <c r="J651" s="14" t="s">
        <v>216</v>
      </c>
      <c r="M651">
        <f>IF(Tabela1[[#This Row],[Qtd Filhos]]&gt;=8,1,0)</f>
        <v>0</v>
      </c>
      <c r="N651">
        <f>IF(Tabela1[[#This Row],[Idade]]&gt;50,1,0)</f>
        <v>0</v>
      </c>
      <c r="O651">
        <f>YEAR(Tabela1[[#This Row],[Data Nasc.]])</f>
        <v>1977</v>
      </c>
    </row>
    <row r="652" spans="9:15" x14ac:dyDescent="0.25">
      <c r="I652" s="14">
        <f>MATCH(J652,J:J,0)</f>
        <v>25</v>
      </c>
      <c r="J652" s="14" t="s">
        <v>214</v>
      </c>
      <c r="M652">
        <f>IF(Tabela1[[#This Row],[Qtd Filhos]]&gt;=8,1,0)</f>
        <v>0</v>
      </c>
      <c r="N652">
        <f>IF(Tabela1[[#This Row],[Idade]]&gt;50,1,0)</f>
        <v>0</v>
      </c>
      <c r="O652">
        <f>YEAR(Tabela1[[#This Row],[Data Nasc.]])</f>
        <v>1989</v>
      </c>
    </row>
    <row r="653" spans="9:15" x14ac:dyDescent="0.25">
      <c r="I653" s="14">
        <f>MATCH(J653,J:J,0)</f>
        <v>24</v>
      </c>
      <c r="J653" s="14" t="s">
        <v>225</v>
      </c>
      <c r="M653">
        <f>IF(Tabela1[[#This Row],[Qtd Filhos]]&gt;=8,1,0)</f>
        <v>0</v>
      </c>
      <c r="N653">
        <f>IF(Tabela1[[#This Row],[Idade]]&gt;50,1,0)</f>
        <v>0</v>
      </c>
      <c r="O653">
        <f>YEAR(Tabela1[[#This Row],[Data Nasc.]])</f>
        <v>1983</v>
      </c>
    </row>
    <row r="654" spans="9:15" x14ac:dyDescent="0.25">
      <c r="I654" s="14">
        <f>MATCH(J654,J:J,0)</f>
        <v>317</v>
      </c>
      <c r="J654" s="14" t="s">
        <v>242</v>
      </c>
      <c r="M654">
        <f>IF(Tabela1[[#This Row],[Qtd Filhos]]&gt;=8,1,0)</f>
        <v>0</v>
      </c>
      <c r="N654">
        <f>IF(Tabela1[[#This Row],[Idade]]&gt;50,1,0)</f>
        <v>1</v>
      </c>
      <c r="O654">
        <f>YEAR(Tabela1[[#This Row],[Data Nasc.]])</f>
        <v>1964</v>
      </c>
    </row>
    <row r="655" spans="9:15" x14ac:dyDescent="0.25">
      <c r="I655" s="14">
        <f>MATCH(J655,J:J,0)</f>
        <v>239</v>
      </c>
      <c r="J655" s="14" t="s">
        <v>203</v>
      </c>
      <c r="M655">
        <f>IF(Tabela1[[#This Row],[Qtd Filhos]]&gt;=8,1,0)</f>
        <v>0</v>
      </c>
      <c r="N655">
        <f>IF(Tabela1[[#This Row],[Idade]]&gt;50,1,0)</f>
        <v>1</v>
      </c>
      <c r="O655">
        <f>YEAR(Tabela1[[#This Row],[Data Nasc.]])</f>
        <v>1973</v>
      </c>
    </row>
    <row r="656" spans="9:15" x14ac:dyDescent="0.25">
      <c r="I656" s="14">
        <f>MATCH(J656,J:J,0)</f>
        <v>239</v>
      </c>
      <c r="J656" s="14" t="s">
        <v>203</v>
      </c>
      <c r="M656">
        <f>IF(Tabela1[[#This Row],[Qtd Filhos]]&gt;=8,1,0)</f>
        <v>0</v>
      </c>
      <c r="N656">
        <f>IF(Tabela1[[#This Row],[Idade]]&gt;50,1,0)</f>
        <v>0</v>
      </c>
      <c r="O656">
        <f>YEAR(Tabela1[[#This Row],[Data Nasc.]])</f>
        <v>1988</v>
      </c>
    </row>
    <row r="657" spans="9:15" x14ac:dyDescent="0.25">
      <c r="I657" s="14">
        <f>MATCH(J657,J:J,0)</f>
        <v>230</v>
      </c>
      <c r="J657" s="14" t="s">
        <v>216</v>
      </c>
      <c r="M657">
        <f>IF(Tabela1[[#This Row],[Qtd Filhos]]&gt;=8,1,0)</f>
        <v>0</v>
      </c>
      <c r="N657">
        <f>IF(Tabela1[[#This Row],[Idade]]&gt;50,1,0)</f>
        <v>0</v>
      </c>
      <c r="O657">
        <f>YEAR(Tabela1[[#This Row],[Data Nasc.]])</f>
        <v>1987</v>
      </c>
    </row>
    <row r="658" spans="9:15" x14ac:dyDescent="0.25">
      <c r="I658" s="14">
        <f>MATCH(J658,J:J,0)</f>
        <v>7</v>
      </c>
      <c r="J658" s="14" t="s">
        <v>118</v>
      </c>
      <c r="M658">
        <f>IF(Tabela1[[#This Row],[Qtd Filhos]]&gt;=8,1,0)</f>
        <v>0</v>
      </c>
      <c r="N658">
        <f>IF(Tabela1[[#This Row],[Idade]]&gt;50,1,0)</f>
        <v>0</v>
      </c>
      <c r="O658">
        <f>YEAR(Tabela1[[#This Row],[Data Nasc.]])</f>
        <v>1985</v>
      </c>
    </row>
    <row r="659" spans="9:15" x14ac:dyDescent="0.25">
      <c r="I659" s="14">
        <f>MATCH(J659,J:J,0)</f>
        <v>43</v>
      </c>
      <c r="J659" s="14" t="s">
        <v>154</v>
      </c>
      <c r="M659">
        <f>IF(Tabela1[[#This Row],[Qtd Filhos]]&gt;=8,1,0)</f>
        <v>0</v>
      </c>
      <c r="N659">
        <f>IF(Tabela1[[#This Row],[Idade]]&gt;50,1,0)</f>
        <v>0</v>
      </c>
      <c r="O659">
        <f>YEAR(Tabela1[[#This Row],[Data Nasc.]])</f>
        <v>2007</v>
      </c>
    </row>
    <row r="660" spans="9:15" x14ac:dyDescent="0.25">
      <c r="I660" s="14">
        <f>MATCH(J660,J:J,0)</f>
        <v>56</v>
      </c>
      <c r="J660" s="14" t="s">
        <v>18</v>
      </c>
      <c r="M660">
        <f>IF(Tabela1[[#This Row],[Qtd Filhos]]&gt;=8,1,0)</f>
        <v>0</v>
      </c>
      <c r="N660">
        <f>IF(Tabela1[[#This Row],[Idade]]&gt;50,1,0)</f>
        <v>1</v>
      </c>
      <c r="O660">
        <f>YEAR(Tabela1[[#This Row],[Data Nasc.]])</f>
        <v>1961</v>
      </c>
    </row>
    <row r="661" spans="9:15" x14ac:dyDescent="0.25">
      <c r="I661" s="14">
        <f>MATCH(J661,J:J,0)</f>
        <v>71</v>
      </c>
      <c r="J661" s="14" t="s">
        <v>134</v>
      </c>
      <c r="M661">
        <f>IF(Tabela1[[#This Row],[Qtd Filhos]]&gt;=8,1,0)</f>
        <v>0</v>
      </c>
      <c r="N661">
        <f>IF(Tabela1[[#This Row],[Idade]]&gt;50,1,0)</f>
        <v>0</v>
      </c>
      <c r="O661">
        <f>YEAR(Tabela1[[#This Row],[Data Nasc.]])</f>
        <v>2003</v>
      </c>
    </row>
    <row r="662" spans="9:15" x14ac:dyDescent="0.25">
      <c r="I662" s="14">
        <f>MATCH(J662,J:J,0)</f>
        <v>87</v>
      </c>
      <c r="J662" s="14" t="s">
        <v>95</v>
      </c>
      <c r="M662">
        <f>IF(Tabela1[[#This Row],[Qtd Filhos]]&gt;=8,1,0)</f>
        <v>0</v>
      </c>
      <c r="N662">
        <f>IF(Tabela1[[#This Row],[Idade]]&gt;50,1,0)</f>
        <v>0</v>
      </c>
      <c r="O662">
        <f>YEAR(Tabela1[[#This Row],[Data Nasc.]])</f>
        <v>2007</v>
      </c>
    </row>
    <row r="663" spans="9:15" x14ac:dyDescent="0.25">
      <c r="I663" s="14">
        <f>MATCH(J663,J:J,0)</f>
        <v>2</v>
      </c>
      <c r="J663" s="14" t="s">
        <v>56</v>
      </c>
      <c r="M663">
        <f>IF(Tabela1[[#This Row],[Qtd Filhos]]&gt;=8,1,0)</f>
        <v>0</v>
      </c>
      <c r="N663">
        <f>IF(Tabela1[[#This Row],[Idade]]&gt;50,1,0)</f>
        <v>0</v>
      </c>
      <c r="O663">
        <f>YEAR(Tabela1[[#This Row],[Data Nasc.]])</f>
        <v>1981</v>
      </c>
    </row>
    <row r="664" spans="9:15" x14ac:dyDescent="0.25">
      <c r="I664" s="14">
        <f>MATCH(J664,J:J,0)</f>
        <v>317</v>
      </c>
      <c r="J664" s="14" t="s">
        <v>242</v>
      </c>
      <c r="M664">
        <f>IF(Tabela1[[#This Row],[Qtd Filhos]]&gt;=8,1,0)</f>
        <v>0</v>
      </c>
      <c r="N664">
        <f>IF(Tabela1[[#This Row],[Idade]]&gt;50,1,0)</f>
        <v>1</v>
      </c>
      <c r="O664">
        <f>YEAR(Tabela1[[#This Row],[Data Nasc.]])</f>
        <v>1969</v>
      </c>
    </row>
    <row r="665" spans="9:15" x14ac:dyDescent="0.25">
      <c r="I665" s="14">
        <f>MATCH(J665,J:J,0)</f>
        <v>94</v>
      </c>
      <c r="J665" s="14" t="s">
        <v>293</v>
      </c>
      <c r="M665">
        <f>IF(Tabela1[[#This Row],[Qtd Filhos]]&gt;=8,1,0)</f>
        <v>0</v>
      </c>
      <c r="N665">
        <f>IF(Tabela1[[#This Row],[Idade]]&gt;50,1,0)</f>
        <v>0</v>
      </c>
      <c r="O665">
        <f>YEAR(Tabela1[[#This Row],[Data Nasc.]])</f>
        <v>1992</v>
      </c>
    </row>
    <row r="666" spans="9:15" x14ac:dyDescent="0.25">
      <c r="I666" s="14">
        <f>MATCH(J666,J:J,0)</f>
        <v>70</v>
      </c>
      <c r="J666" s="14" t="s">
        <v>84</v>
      </c>
      <c r="M666">
        <f>IF(Tabela1[[#This Row],[Qtd Filhos]]&gt;=8,1,0)</f>
        <v>0</v>
      </c>
      <c r="N666">
        <f>IF(Tabela1[[#This Row],[Idade]]&gt;50,1,0)</f>
        <v>1</v>
      </c>
      <c r="O666">
        <f>YEAR(Tabela1[[#This Row],[Data Nasc.]])</f>
        <v>1972</v>
      </c>
    </row>
    <row r="667" spans="9:15" x14ac:dyDescent="0.25">
      <c r="I667" s="14">
        <f>MATCH(J667,J:J,0)</f>
        <v>256</v>
      </c>
      <c r="J667" s="14" t="s">
        <v>188</v>
      </c>
      <c r="M667">
        <f>IF(Tabela1[[#This Row],[Qtd Filhos]]&gt;=8,1,0)</f>
        <v>0</v>
      </c>
      <c r="N667">
        <f>IF(Tabela1[[#This Row],[Idade]]&gt;50,1,0)</f>
        <v>0</v>
      </c>
      <c r="O667">
        <f>YEAR(Tabela1[[#This Row],[Data Nasc.]])</f>
        <v>1992</v>
      </c>
    </row>
    <row r="668" spans="9:15" x14ac:dyDescent="0.25">
      <c r="I668" s="14">
        <f>MATCH(J668,J:J,0)</f>
        <v>238</v>
      </c>
      <c r="J668" s="14" t="s">
        <v>93</v>
      </c>
      <c r="M668">
        <f>IF(Tabela1[[#This Row],[Qtd Filhos]]&gt;=8,1,0)</f>
        <v>0</v>
      </c>
      <c r="N668">
        <f>IF(Tabela1[[#This Row],[Idade]]&gt;50,1,0)</f>
        <v>1</v>
      </c>
      <c r="O668">
        <f>YEAR(Tabela1[[#This Row],[Data Nasc.]])</f>
        <v>1972</v>
      </c>
    </row>
    <row r="669" spans="9:15" x14ac:dyDescent="0.25">
      <c r="I669" s="14">
        <f>MATCH(J669,J:J,0)</f>
        <v>9</v>
      </c>
      <c r="J669" s="14" t="s">
        <v>229</v>
      </c>
      <c r="M669">
        <f>IF(Tabela1[[#This Row],[Qtd Filhos]]&gt;=8,1,0)</f>
        <v>0</v>
      </c>
      <c r="N669">
        <f>IF(Tabela1[[#This Row],[Idade]]&gt;50,1,0)</f>
        <v>1</v>
      </c>
      <c r="O669">
        <f>YEAR(Tabela1[[#This Row],[Data Nasc.]])</f>
        <v>1968</v>
      </c>
    </row>
    <row r="670" spans="9:15" x14ac:dyDescent="0.25">
      <c r="I670" s="14">
        <f>MATCH(J670,J:J,0)</f>
        <v>377</v>
      </c>
      <c r="J670" s="14" t="s">
        <v>46</v>
      </c>
      <c r="M670">
        <f>IF(Tabela1[[#This Row],[Qtd Filhos]]&gt;=8,1,0)</f>
        <v>0</v>
      </c>
      <c r="N670">
        <f>IF(Tabela1[[#This Row],[Idade]]&gt;50,1,0)</f>
        <v>1</v>
      </c>
      <c r="O670">
        <f>YEAR(Tabela1[[#This Row],[Data Nasc.]])</f>
        <v>1970</v>
      </c>
    </row>
    <row r="671" spans="9:15" x14ac:dyDescent="0.25">
      <c r="I671" s="14">
        <f>MATCH(J671,J:J,0)</f>
        <v>7</v>
      </c>
      <c r="J671" s="14" t="s">
        <v>118</v>
      </c>
      <c r="M671">
        <f>IF(Tabela1[[#This Row],[Qtd Filhos]]&gt;=8,1,0)</f>
        <v>0</v>
      </c>
      <c r="N671">
        <f>IF(Tabela1[[#This Row],[Idade]]&gt;50,1,0)</f>
        <v>1</v>
      </c>
      <c r="O671">
        <f>YEAR(Tabela1[[#This Row],[Data Nasc.]])</f>
        <v>1972</v>
      </c>
    </row>
    <row r="672" spans="9:15" x14ac:dyDescent="0.25">
      <c r="I672" s="14">
        <f>MATCH(J672,J:J,0)</f>
        <v>2</v>
      </c>
      <c r="J672" s="14" t="s">
        <v>56</v>
      </c>
      <c r="M672">
        <f>IF(Tabela1[[#This Row],[Qtd Filhos]]&gt;=8,1,0)</f>
        <v>0</v>
      </c>
      <c r="N672">
        <f>IF(Tabela1[[#This Row],[Idade]]&gt;50,1,0)</f>
        <v>0</v>
      </c>
      <c r="O672">
        <f>YEAR(Tabela1[[#This Row],[Data Nasc.]])</f>
        <v>1981</v>
      </c>
    </row>
    <row r="673" spans="9:15" x14ac:dyDescent="0.25">
      <c r="I673" s="14">
        <f>MATCH(J673,J:J,0)</f>
        <v>278</v>
      </c>
      <c r="J673" s="14" t="s">
        <v>267</v>
      </c>
      <c r="M673">
        <f>IF(Tabela1[[#This Row],[Qtd Filhos]]&gt;=8,1,0)</f>
        <v>0</v>
      </c>
      <c r="N673">
        <f>IF(Tabela1[[#This Row],[Idade]]&gt;50,1,0)</f>
        <v>1</v>
      </c>
      <c r="O673">
        <f>YEAR(Tabela1[[#This Row],[Data Nasc.]])</f>
        <v>1971</v>
      </c>
    </row>
    <row r="674" spans="9:15" x14ac:dyDescent="0.25">
      <c r="I674" s="14">
        <f>MATCH(J674,J:J,0)</f>
        <v>160</v>
      </c>
      <c r="J674" s="14" t="s">
        <v>256</v>
      </c>
      <c r="M674">
        <f>IF(Tabela1[[#This Row],[Qtd Filhos]]&gt;=8,1,0)</f>
        <v>0</v>
      </c>
      <c r="N674">
        <f>IF(Tabela1[[#This Row],[Idade]]&gt;50,1,0)</f>
        <v>0</v>
      </c>
      <c r="O674">
        <f>YEAR(Tabela1[[#This Row],[Data Nasc.]])</f>
        <v>2008</v>
      </c>
    </row>
    <row r="675" spans="9:15" x14ac:dyDescent="0.25">
      <c r="I675" s="14">
        <f>MATCH(J675,J:J,0)</f>
        <v>7</v>
      </c>
      <c r="J675" s="14" t="s">
        <v>118</v>
      </c>
      <c r="M675">
        <f>IF(Tabela1[[#This Row],[Qtd Filhos]]&gt;=8,1,0)</f>
        <v>0</v>
      </c>
      <c r="N675">
        <f>IF(Tabela1[[#This Row],[Idade]]&gt;50,1,0)</f>
        <v>0</v>
      </c>
      <c r="O675">
        <f>YEAR(Tabela1[[#This Row],[Data Nasc.]])</f>
        <v>1994</v>
      </c>
    </row>
    <row r="676" spans="9:15" x14ac:dyDescent="0.25">
      <c r="I676" s="14">
        <f>MATCH(J676,J:J,0)</f>
        <v>65</v>
      </c>
      <c r="J676" s="14" t="s">
        <v>64</v>
      </c>
      <c r="M676">
        <f>IF(Tabela1[[#This Row],[Qtd Filhos]]&gt;=8,1,0)</f>
        <v>0</v>
      </c>
      <c r="N676">
        <f>IF(Tabela1[[#This Row],[Idade]]&gt;50,1,0)</f>
        <v>0</v>
      </c>
      <c r="O676">
        <f>YEAR(Tabela1[[#This Row],[Data Nasc.]])</f>
        <v>1976</v>
      </c>
    </row>
    <row r="677" spans="9:15" x14ac:dyDescent="0.25">
      <c r="I677" s="14">
        <f>MATCH(J677,J:J,0)</f>
        <v>45</v>
      </c>
      <c r="J677" s="14" t="s">
        <v>149</v>
      </c>
      <c r="M677">
        <f>IF(Tabela1[[#This Row],[Qtd Filhos]]&gt;=8,1,0)</f>
        <v>0</v>
      </c>
      <c r="N677">
        <f>IF(Tabela1[[#This Row],[Idade]]&gt;50,1,0)</f>
        <v>0</v>
      </c>
      <c r="O677">
        <f>YEAR(Tabela1[[#This Row],[Data Nasc.]])</f>
        <v>1999</v>
      </c>
    </row>
    <row r="678" spans="9:15" x14ac:dyDescent="0.25">
      <c r="I678" s="14">
        <f>MATCH(J678,J:J,0)</f>
        <v>53</v>
      </c>
      <c r="J678" s="14" t="s">
        <v>271</v>
      </c>
      <c r="M678">
        <f>IF(Tabela1[[#This Row],[Qtd Filhos]]&gt;=8,1,0)</f>
        <v>0</v>
      </c>
      <c r="N678">
        <f>IF(Tabela1[[#This Row],[Idade]]&gt;50,1,0)</f>
        <v>0</v>
      </c>
      <c r="O678">
        <f>YEAR(Tabela1[[#This Row],[Data Nasc.]])</f>
        <v>1977</v>
      </c>
    </row>
    <row r="679" spans="9:15" x14ac:dyDescent="0.25">
      <c r="I679" s="14">
        <f>MATCH(J679,J:J,0)</f>
        <v>679</v>
      </c>
      <c r="J679" s="14" t="s">
        <v>74</v>
      </c>
      <c r="M679">
        <f>IF(Tabela1[[#This Row],[Qtd Filhos]]&gt;=8,1,0)</f>
        <v>0</v>
      </c>
      <c r="N679">
        <f>IF(Tabela1[[#This Row],[Idade]]&gt;50,1,0)</f>
        <v>1</v>
      </c>
      <c r="O679">
        <f>YEAR(Tabela1[[#This Row],[Data Nasc.]])</f>
        <v>1967</v>
      </c>
    </row>
    <row r="680" spans="9:15" x14ac:dyDescent="0.25">
      <c r="I680" s="14">
        <f>MATCH(J680,J:J,0)</f>
        <v>49</v>
      </c>
      <c r="J680" s="14" t="s">
        <v>205</v>
      </c>
      <c r="M680">
        <f>IF(Tabela1[[#This Row],[Qtd Filhos]]&gt;=8,1,0)</f>
        <v>0</v>
      </c>
      <c r="N680">
        <f>IF(Tabela1[[#This Row],[Idade]]&gt;50,1,0)</f>
        <v>0</v>
      </c>
      <c r="O680">
        <f>YEAR(Tabela1[[#This Row],[Data Nasc.]])</f>
        <v>1983</v>
      </c>
    </row>
    <row r="681" spans="9:15" x14ac:dyDescent="0.25">
      <c r="I681" s="14">
        <f>MATCH(J681,J:J,0)</f>
        <v>104</v>
      </c>
      <c r="J681" s="14" t="s">
        <v>231</v>
      </c>
      <c r="M681">
        <f>IF(Tabela1[[#This Row],[Qtd Filhos]]&gt;=8,1,0)</f>
        <v>0</v>
      </c>
      <c r="N681">
        <f>IF(Tabela1[[#This Row],[Idade]]&gt;50,1,0)</f>
        <v>0</v>
      </c>
      <c r="O681">
        <f>YEAR(Tabela1[[#This Row],[Data Nasc.]])</f>
        <v>1993</v>
      </c>
    </row>
    <row r="682" spans="9:15" x14ac:dyDescent="0.25">
      <c r="I682" s="14">
        <f>MATCH(J682,J:J,0)</f>
        <v>55</v>
      </c>
      <c r="J682" s="14" t="s">
        <v>197</v>
      </c>
      <c r="M682">
        <f>IF(Tabela1[[#This Row],[Qtd Filhos]]&gt;=8,1,0)</f>
        <v>0</v>
      </c>
      <c r="N682">
        <f>IF(Tabela1[[#This Row],[Idade]]&gt;50,1,0)</f>
        <v>0</v>
      </c>
      <c r="O682">
        <f>YEAR(Tabela1[[#This Row],[Data Nasc.]])</f>
        <v>1978</v>
      </c>
    </row>
    <row r="683" spans="9:15" x14ac:dyDescent="0.25">
      <c r="I683" s="14">
        <f>MATCH(J683,J:J,0)</f>
        <v>114</v>
      </c>
      <c r="J683" s="14" t="s">
        <v>168</v>
      </c>
      <c r="M683">
        <f>IF(Tabela1[[#This Row],[Qtd Filhos]]&gt;=8,1,0)</f>
        <v>0</v>
      </c>
      <c r="N683">
        <f>IF(Tabela1[[#This Row],[Idade]]&gt;50,1,0)</f>
        <v>0</v>
      </c>
      <c r="O683">
        <f>YEAR(Tabela1[[#This Row],[Data Nasc.]])</f>
        <v>1989</v>
      </c>
    </row>
    <row r="684" spans="9:15" x14ac:dyDescent="0.25">
      <c r="I684" s="14">
        <f>MATCH(J684,J:J,0)</f>
        <v>63</v>
      </c>
      <c r="J684" s="14" t="s">
        <v>279</v>
      </c>
      <c r="M684">
        <f>IF(Tabela1[[#This Row],[Qtd Filhos]]&gt;=8,1,0)</f>
        <v>0</v>
      </c>
      <c r="N684">
        <f>IF(Tabela1[[#This Row],[Idade]]&gt;50,1,0)</f>
        <v>0</v>
      </c>
      <c r="O684">
        <f>YEAR(Tabela1[[#This Row],[Data Nasc.]])</f>
        <v>2005</v>
      </c>
    </row>
    <row r="685" spans="9:15" x14ac:dyDescent="0.25">
      <c r="I685" s="14">
        <f>MATCH(J685,J:J,0)</f>
        <v>100</v>
      </c>
      <c r="J685" s="14" t="s">
        <v>238</v>
      </c>
      <c r="M685">
        <f>IF(Tabela1[[#This Row],[Qtd Filhos]]&gt;=8,1,0)</f>
        <v>0</v>
      </c>
      <c r="N685">
        <f>IF(Tabela1[[#This Row],[Idade]]&gt;50,1,0)</f>
        <v>0</v>
      </c>
      <c r="O685">
        <f>YEAR(Tabela1[[#This Row],[Data Nasc.]])</f>
        <v>2002</v>
      </c>
    </row>
    <row r="686" spans="9:15" x14ac:dyDescent="0.25">
      <c r="I686" s="14">
        <f>MATCH(J686,J:J,0)</f>
        <v>7</v>
      </c>
      <c r="J686" s="14" t="s">
        <v>118</v>
      </c>
      <c r="M686">
        <f>IF(Tabela1[[#This Row],[Qtd Filhos]]&gt;=8,1,0)</f>
        <v>0</v>
      </c>
      <c r="N686">
        <f>IF(Tabela1[[#This Row],[Idade]]&gt;50,1,0)</f>
        <v>0</v>
      </c>
      <c r="O686">
        <f>YEAR(Tabela1[[#This Row],[Data Nasc.]])</f>
        <v>1995</v>
      </c>
    </row>
    <row r="687" spans="9:15" x14ac:dyDescent="0.25">
      <c r="I687" s="14">
        <f>MATCH(J687,J:J,0)</f>
        <v>175</v>
      </c>
      <c r="J687" s="14" t="s">
        <v>145</v>
      </c>
      <c r="M687">
        <f>IF(Tabela1[[#This Row],[Qtd Filhos]]&gt;=8,1,0)</f>
        <v>0</v>
      </c>
      <c r="N687">
        <f>IF(Tabela1[[#This Row],[Idade]]&gt;50,1,0)</f>
        <v>0</v>
      </c>
      <c r="O687">
        <f>YEAR(Tabela1[[#This Row],[Data Nasc.]])</f>
        <v>1980</v>
      </c>
    </row>
    <row r="688" spans="9:15" x14ac:dyDescent="0.25">
      <c r="I688" s="14">
        <f>MATCH(J688,J:J,0)</f>
        <v>153</v>
      </c>
      <c r="J688" s="14" t="s">
        <v>277</v>
      </c>
      <c r="M688">
        <f>IF(Tabela1[[#This Row],[Qtd Filhos]]&gt;=8,1,0)</f>
        <v>0</v>
      </c>
      <c r="N688">
        <f>IF(Tabela1[[#This Row],[Idade]]&gt;50,1,0)</f>
        <v>0</v>
      </c>
      <c r="O688">
        <f>YEAR(Tabela1[[#This Row],[Data Nasc.]])</f>
        <v>1985</v>
      </c>
    </row>
    <row r="689" spans="9:15" x14ac:dyDescent="0.25">
      <c r="I689" s="14">
        <f>MATCH(J689,J:J,0)</f>
        <v>230</v>
      </c>
      <c r="J689" s="14" t="s">
        <v>216</v>
      </c>
      <c r="M689">
        <f>IF(Tabela1[[#This Row],[Qtd Filhos]]&gt;=8,1,0)</f>
        <v>0</v>
      </c>
      <c r="N689">
        <f>IF(Tabela1[[#This Row],[Idade]]&gt;50,1,0)</f>
        <v>0</v>
      </c>
      <c r="O689">
        <f>YEAR(Tabela1[[#This Row],[Data Nasc.]])</f>
        <v>1985</v>
      </c>
    </row>
    <row r="690" spans="9:15" x14ac:dyDescent="0.25">
      <c r="I690" s="14">
        <f>MATCH(J690,J:J,0)</f>
        <v>116</v>
      </c>
      <c r="J690" s="14" t="s">
        <v>76</v>
      </c>
      <c r="M690">
        <f>IF(Tabela1[[#This Row],[Qtd Filhos]]&gt;=8,1,0)</f>
        <v>0</v>
      </c>
      <c r="N690">
        <f>IF(Tabela1[[#This Row],[Idade]]&gt;50,1,0)</f>
        <v>0</v>
      </c>
      <c r="O690">
        <f>YEAR(Tabela1[[#This Row],[Data Nasc.]])</f>
        <v>1988</v>
      </c>
    </row>
    <row r="691" spans="9:15" x14ac:dyDescent="0.25">
      <c r="I691" s="14">
        <f>MATCH(J691,J:J,0)</f>
        <v>28</v>
      </c>
      <c r="J691" s="14" t="s">
        <v>211</v>
      </c>
      <c r="M691">
        <f>IF(Tabela1[[#This Row],[Qtd Filhos]]&gt;=8,1,0)</f>
        <v>0</v>
      </c>
      <c r="N691">
        <f>IF(Tabela1[[#This Row],[Idade]]&gt;50,1,0)</f>
        <v>1</v>
      </c>
      <c r="O691">
        <f>YEAR(Tabela1[[#This Row],[Data Nasc.]])</f>
        <v>1973</v>
      </c>
    </row>
    <row r="692" spans="9:15" x14ac:dyDescent="0.25">
      <c r="I692" s="14">
        <f>MATCH(J692,J:J,0)</f>
        <v>33</v>
      </c>
      <c r="J692" s="14" t="s">
        <v>263</v>
      </c>
      <c r="M692">
        <f>IF(Tabela1[[#This Row],[Qtd Filhos]]&gt;=8,1,0)</f>
        <v>0</v>
      </c>
      <c r="N692">
        <f>IF(Tabela1[[#This Row],[Idade]]&gt;50,1,0)</f>
        <v>0</v>
      </c>
      <c r="O692">
        <f>YEAR(Tabela1[[#This Row],[Data Nasc.]])</f>
        <v>2007</v>
      </c>
    </row>
    <row r="693" spans="9:15" x14ac:dyDescent="0.25">
      <c r="I693" s="14">
        <f>MATCH(J693,J:J,0)</f>
        <v>86</v>
      </c>
      <c r="J693" s="14" t="s">
        <v>128</v>
      </c>
      <c r="M693">
        <f>IF(Tabela1[[#This Row],[Qtd Filhos]]&gt;=8,1,0)</f>
        <v>0</v>
      </c>
      <c r="N693">
        <f>IF(Tabela1[[#This Row],[Idade]]&gt;50,1,0)</f>
        <v>1</v>
      </c>
      <c r="O693">
        <f>YEAR(Tabela1[[#This Row],[Data Nasc.]])</f>
        <v>1974</v>
      </c>
    </row>
    <row r="694" spans="9:15" x14ac:dyDescent="0.25">
      <c r="I694" s="14">
        <f>MATCH(J694,J:J,0)</f>
        <v>26</v>
      </c>
      <c r="J694" s="14" t="s">
        <v>287</v>
      </c>
      <c r="M694">
        <f>IF(Tabela1[[#This Row],[Qtd Filhos]]&gt;=8,1,0)</f>
        <v>0</v>
      </c>
      <c r="N694">
        <f>IF(Tabela1[[#This Row],[Idade]]&gt;50,1,0)</f>
        <v>0</v>
      </c>
      <c r="O694">
        <f>YEAR(Tabela1[[#This Row],[Data Nasc.]])</f>
        <v>1981</v>
      </c>
    </row>
    <row r="695" spans="9:15" x14ac:dyDescent="0.25">
      <c r="I695" s="14">
        <f>MATCH(J695,J:J,0)</f>
        <v>29</v>
      </c>
      <c r="J695" s="14" t="s">
        <v>209</v>
      </c>
      <c r="M695">
        <f>IF(Tabela1[[#This Row],[Qtd Filhos]]&gt;=8,1,0)</f>
        <v>0</v>
      </c>
      <c r="N695">
        <f>IF(Tabela1[[#This Row],[Idade]]&gt;50,1,0)</f>
        <v>0</v>
      </c>
      <c r="O695">
        <f>YEAR(Tabela1[[#This Row],[Data Nasc.]])</f>
        <v>2000</v>
      </c>
    </row>
    <row r="696" spans="9:15" x14ac:dyDescent="0.25">
      <c r="I696" s="14">
        <f>MATCH(J696,J:J,0)</f>
        <v>14</v>
      </c>
      <c r="J696" s="14" t="s">
        <v>184</v>
      </c>
      <c r="M696">
        <f>IF(Tabela1[[#This Row],[Qtd Filhos]]&gt;=8,1,0)</f>
        <v>0</v>
      </c>
      <c r="N696">
        <f>IF(Tabela1[[#This Row],[Idade]]&gt;50,1,0)</f>
        <v>0</v>
      </c>
      <c r="O696">
        <f>YEAR(Tabela1[[#This Row],[Data Nasc.]])</f>
        <v>1979</v>
      </c>
    </row>
    <row r="697" spans="9:15" x14ac:dyDescent="0.25">
      <c r="I697" s="14">
        <f>MATCH(J697,J:J,0)</f>
        <v>33</v>
      </c>
      <c r="J697" s="14" t="s">
        <v>263</v>
      </c>
      <c r="M697">
        <f>IF(Tabela1[[#This Row],[Qtd Filhos]]&gt;=8,1,0)</f>
        <v>0</v>
      </c>
      <c r="N697">
        <f>IF(Tabela1[[#This Row],[Idade]]&gt;50,1,0)</f>
        <v>0</v>
      </c>
      <c r="O697">
        <f>YEAR(Tabela1[[#This Row],[Data Nasc.]])</f>
        <v>1980</v>
      </c>
    </row>
    <row r="698" spans="9:15" x14ac:dyDescent="0.25">
      <c r="I698" s="14">
        <f>MATCH(J698,J:J,0)</f>
        <v>239</v>
      </c>
      <c r="J698" s="14" t="s">
        <v>203</v>
      </c>
      <c r="M698">
        <f>IF(Tabela1[[#This Row],[Qtd Filhos]]&gt;=8,1,0)</f>
        <v>0</v>
      </c>
      <c r="N698">
        <f>IF(Tabela1[[#This Row],[Idade]]&gt;50,1,0)</f>
        <v>0</v>
      </c>
      <c r="O698">
        <f>YEAR(Tabela1[[#This Row],[Data Nasc.]])</f>
        <v>1987</v>
      </c>
    </row>
    <row r="699" spans="9:15" x14ac:dyDescent="0.25">
      <c r="I699" s="14">
        <f>MATCH(J699,J:J,0)</f>
        <v>126</v>
      </c>
      <c r="J699" s="14" t="s">
        <v>137</v>
      </c>
      <c r="M699">
        <f>IF(Tabela1[[#This Row],[Qtd Filhos]]&gt;=8,1,0)</f>
        <v>0</v>
      </c>
      <c r="N699">
        <f>IF(Tabela1[[#This Row],[Idade]]&gt;50,1,0)</f>
        <v>1</v>
      </c>
      <c r="O699">
        <f>YEAR(Tabela1[[#This Row],[Data Nasc.]])</f>
        <v>1966</v>
      </c>
    </row>
    <row r="700" spans="9:15" x14ac:dyDescent="0.25">
      <c r="I700" s="14">
        <f>MATCH(J700,J:J,0)</f>
        <v>38</v>
      </c>
      <c r="J700" s="14" t="s">
        <v>246</v>
      </c>
      <c r="M700">
        <f>IF(Tabela1[[#This Row],[Qtd Filhos]]&gt;=8,1,0)</f>
        <v>0</v>
      </c>
      <c r="N700">
        <f>IF(Tabela1[[#This Row],[Idade]]&gt;50,1,0)</f>
        <v>0</v>
      </c>
      <c r="O700">
        <f>YEAR(Tabela1[[#This Row],[Data Nasc.]])</f>
        <v>2001</v>
      </c>
    </row>
    <row r="701" spans="9:15" x14ac:dyDescent="0.25">
      <c r="I701" s="14">
        <f>MATCH(J701,J:J,0)</f>
        <v>32</v>
      </c>
      <c r="J701" s="14" t="s">
        <v>164</v>
      </c>
      <c r="M701">
        <f>IF(Tabela1[[#This Row],[Qtd Filhos]]&gt;=8,1,0)</f>
        <v>0</v>
      </c>
      <c r="N701">
        <f>IF(Tabela1[[#This Row],[Idade]]&gt;50,1,0)</f>
        <v>1</v>
      </c>
      <c r="O701">
        <f>YEAR(Tabela1[[#This Row],[Data Nasc.]])</f>
        <v>1975</v>
      </c>
    </row>
    <row r="702" spans="9:15" x14ac:dyDescent="0.25">
      <c r="I702" s="14">
        <f>MATCH(J702,J:J,0)</f>
        <v>45</v>
      </c>
      <c r="J702" s="14" t="s">
        <v>149</v>
      </c>
      <c r="M702">
        <f>IF(Tabela1[[#This Row],[Qtd Filhos]]&gt;=8,1,0)</f>
        <v>0</v>
      </c>
      <c r="N702">
        <f>IF(Tabela1[[#This Row],[Idade]]&gt;50,1,0)</f>
        <v>0</v>
      </c>
      <c r="O702">
        <f>YEAR(Tabela1[[#This Row],[Data Nasc.]])</f>
        <v>2001</v>
      </c>
    </row>
    <row r="703" spans="9:15" x14ac:dyDescent="0.25">
      <c r="I703" s="14">
        <f>MATCH(J703,J:J,0)</f>
        <v>116</v>
      </c>
      <c r="J703" s="14" t="s">
        <v>76</v>
      </c>
      <c r="M703">
        <f>IF(Tabela1[[#This Row],[Qtd Filhos]]&gt;=8,1,0)</f>
        <v>0</v>
      </c>
      <c r="N703">
        <f>IF(Tabela1[[#This Row],[Idade]]&gt;50,1,0)</f>
        <v>0</v>
      </c>
      <c r="O703">
        <f>YEAR(Tabela1[[#This Row],[Data Nasc.]])</f>
        <v>1997</v>
      </c>
    </row>
    <row r="704" spans="9:15" x14ac:dyDescent="0.25">
      <c r="I704" s="14">
        <f>MATCH(J704,J:J,0)</f>
        <v>72</v>
      </c>
      <c r="J704" s="14" t="s">
        <v>179</v>
      </c>
      <c r="M704">
        <f>IF(Tabela1[[#This Row],[Qtd Filhos]]&gt;=8,1,0)</f>
        <v>0</v>
      </c>
      <c r="N704">
        <f>IF(Tabela1[[#This Row],[Idade]]&gt;50,1,0)</f>
        <v>1</v>
      </c>
      <c r="O704">
        <f>YEAR(Tabela1[[#This Row],[Data Nasc.]])</f>
        <v>1967</v>
      </c>
    </row>
    <row r="705" spans="9:15" x14ac:dyDescent="0.25">
      <c r="I705" s="14">
        <f>MATCH(J705,J:J,0)</f>
        <v>34</v>
      </c>
      <c r="J705" s="14" t="s">
        <v>235</v>
      </c>
      <c r="M705">
        <f>IF(Tabela1[[#This Row],[Qtd Filhos]]&gt;=8,1,0)</f>
        <v>0</v>
      </c>
      <c r="N705">
        <f>IF(Tabela1[[#This Row],[Idade]]&gt;50,1,0)</f>
        <v>1</v>
      </c>
      <c r="O705">
        <f>YEAR(Tabela1[[#This Row],[Data Nasc.]])</f>
        <v>1965</v>
      </c>
    </row>
    <row r="706" spans="9:15" x14ac:dyDescent="0.25">
      <c r="I706" s="14">
        <f>MATCH(J706,J:J,0)</f>
        <v>33</v>
      </c>
      <c r="J706" s="14" t="s">
        <v>263</v>
      </c>
      <c r="M706">
        <f>IF(Tabela1[[#This Row],[Qtd Filhos]]&gt;=8,1,0)</f>
        <v>0</v>
      </c>
      <c r="N706">
        <f>IF(Tabela1[[#This Row],[Idade]]&gt;50,1,0)</f>
        <v>0</v>
      </c>
      <c r="O706">
        <f>YEAR(Tabela1[[#This Row],[Data Nasc.]])</f>
        <v>1995</v>
      </c>
    </row>
    <row r="707" spans="9:15" x14ac:dyDescent="0.25">
      <c r="I707" s="14">
        <f>MATCH(J707,J:J,0)</f>
        <v>679</v>
      </c>
      <c r="J707" s="14" t="s">
        <v>74</v>
      </c>
      <c r="M707">
        <f>IF(Tabela1[[#This Row],[Qtd Filhos]]&gt;=8,1,0)</f>
        <v>0</v>
      </c>
      <c r="N707">
        <f>IF(Tabela1[[#This Row],[Idade]]&gt;50,1,0)</f>
        <v>0</v>
      </c>
      <c r="O707">
        <f>YEAR(Tabela1[[#This Row],[Data Nasc.]])</f>
        <v>1995</v>
      </c>
    </row>
    <row r="708" spans="9:15" x14ac:dyDescent="0.25">
      <c r="I708" s="14">
        <f>MATCH(J708,J:J,0)</f>
        <v>153</v>
      </c>
      <c r="J708" s="14" t="s">
        <v>277</v>
      </c>
      <c r="M708">
        <f>IF(Tabela1[[#This Row],[Qtd Filhos]]&gt;=8,1,0)</f>
        <v>0</v>
      </c>
      <c r="N708">
        <f>IF(Tabela1[[#This Row],[Idade]]&gt;50,1,0)</f>
        <v>0</v>
      </c>
      <c r="O708">
        <f>YEAR(Tabela1[[#This Row],[Data Nasc.]])</f>
        <v>1996</v>
      </c>
    </row>
    <row r="709" spans="9:15" x14ac:dyDescent="0.25">
      <c r="I709" s="14">
        <f>MATCH(J709,J:J,0)</f>
        <v>114</v>
      </c>
      <c r="J709" s="14" t="s">
        <v>168</v>
      </c>
      <c r="M709">
        <f>IF(Tabela1[[#This Row],[Qtd Filhos]]&gt;=8,1,0)</f>
        <v>0</v>
      </c>
      <c r="N709">
        <f>IF(Tabela1[[#This Row],[Idade]]&gt;50,1,0)</f>
        <v>0</v>
      </c>
      <c r="O709">
        <f>YEAR(Tabela1[[#This Row],[Data Nasc.]])</f>
        <v>1989</v>
      </c>
    </row>
    <row r="710" spans="9:15" x14ac:dyDescent="0.25">
      <c r="I710" s="14">
        <f>MATCH(J710,J:J,0)</f>
        <v>58</v>
      </c>
      <c r="J710" s="14" t="s">
        <v>116</v>
      </c>
      <c r="M710">
        <f>IF(Tabela1[[#This Row],[Qtd Filhos]]&gt;=8,1,0)</f>
        <v>0</v>
      </c>
      <c r="N710">
        <f>IF(Tabela1[[#This Row],[Idade]]&gt;50,1,0)</f>
        <v>1</v>
      </c>
      <c r="O710">
        <f>YEAR(Tabela1[[#This Row],[Data Nasc.]])</f>
        <v>1971</v>
      </c>
    </row>
    <row r="711" spans="9:15" x14ac:dyDescent="0.25">
      <c r="I711" s="14">
        <f>MATCH(J711,J:J,0)</f>
        <v>298</v>
      </c>
      <c r="J711" s="14" t="s">
        <v>90</v>
      </c>
      <c r="M711">
        <f>IF(Tabela1[[#This Row],[Qtd Filhos]]&gt;=8,1,0)</f>
        <v>0</v>
      </c>
      <c r="N711">
        <f>IF(Tabela1[[#This Row],[Idade]]&gt;50,1,0)</f>
        <v>0</v>
      </c>
      <c r="O711">
        <f>YEAR(Tabela1[[#This Row],[Data Nasc.]])</f>
        <v>1978</v>
      </c>
    </row>
    <row r="712" spans="9:15" x14ac:dyDescent="0.25">
      <c r="I712" s="14">
        <f>MATCH(J712,J:J,0)</f>
        <v>212</v>
      </c>
      <c r="J712" s="14" t="s">
        <v>201</v>
      </c>
      <c r="M712">
        <f>IF(Tabela1[[#This Row],[Qtd Filhos]]&gt;=8,1,0)</f>
        <v>0</v>
      </c>
      <c r="N712">
        <f>IF(Tabela1[[#This Row],[Idade]]&gt;50,1,0)</f>
        <v>1</v>
      </c>
      <c r="O712">
        <f>YEAR(Tabela1[[#This Row],[Data Nasc.]])</f>
        <v>1969</v>
      </c>
    </row>
    <row r="713" spans="9:15" x14ac:dyDescent="0.25">
      <c r="I713" s="14">
        <f>MATCH(J713,J:J,0)</f>
        <v>32</v>
      </c>
      <c r="J713" s="14" t="s">
        <v>164</v>
      </c>
      <c r="M713">
        <f>IF(Tabela1[[#This Row],[Qtd Filhos]]&gt;=8,1,0)</f>
        <v>0</v>
      </c>
      <c r="N713">
        <f>IF(Tabela1[[#This Row],[Idade]]&gt;50,1,0)</f>
        <v>1</v>
      </c>
      <c r="O713">
        <f>YEAR(Tabela1[[#This Row],[Data Nasc.]])</f>
        <v>1975</v>
      </c>
    </row>
    <row r="714" spans="9:15" x14ac:dyDescent="0.25">
      <c r="I714" s="14">
        <f>MATCH(J714,J:J,0)</f>
        <v>23</v>
      </c>
      <c r="J714" s="14" t="s">
        <v>283</v>
      </c>
      <c r="M714">
        <f>IF(Tabela1[[#This Row],[Qtd Filhos]]&gt;=8,1,0)</f>
        <v>0</v>
      </c>
      <c r="N714">
        <f>IF(Tabela1[[#This Row],[Idade]]&gt;50,1,0)</f>
        <v>0</v>
      </c>
      <c r="O714">
        <f>YEAR(Tabela1[[#This Row],[Data Nasc.]])</f>
        <v>1980</v>
      </c>
    </row>
    <row r="715" spans="9:15" x14ac:dyDescent="0.25">
      <c r="I715" s="14">
        <f>MATCH(J715,J:J,0)</f>
        <v>2</v>
      </c>
      <c r="J715" s="14" t="s">
        <v>56</v>
      </c>
      <c r="M715">
        <f>IF(Tabela1[[#This Row],[Qtd Filhos]]&gt;=8,1,0)</f>
        <v>0</v>
      </c>
      <c r="N715">
        <f>IF(Tabela1[[#This Row],[Idade]]&gt;50,1,0)</f>
        <v>0</v>
      </c>
      <c r="O715">
        <f>YEAR(Tabela1[[#This Row],[Data Nasc.]])</f>
        <v>2001</v>
      </c>
    </row>
    <row r="716" spans="9:15" x14ac:dyDescent="0.25">
      <c r="I716" s="14">
        <f>MATCH(J716,J:J,0)</f>
        <v>57</v>
      </c>
      <c r="J716" s="14" t="s">
        <v>195</v>
      </c>
      <c r="M716">
        <f>IF(Tabela1[[#This Row],[Qtd Filhos]]&gt;=8,1,0)</f>
        <v>0</v>
      </c>
      <c r="N716">
        <f>IF(Tabela1[[#This Row],[Idade]]&gt;50,1,0)</f>
        <v>0</v>
      </c>
      <c r="O716">
        <f>YEAR(Tabela1[[#This Row],[Data Nasc.]])</f>
        <v>2008</v>
      </c>
    </row>
    <row r="717" spans="9:15" x14ac:dyDescent="0.25">
      <c r="I717" s="14">
        <f>MATCH(J717,J:J,0)</f>
        <v>66</v>
      </c>
      <c r="J717" s="14" t="s">
        <v>139</v>
      </c>
      <c r="M717">
        <f>IF(Tabela1[[#This Row],[Qtd Filhos]]&gt;=8,1,0)</f>
        <v>0</v>
      </c>
      <c r="N717">
        <f>IF(Tabela1[[#This Row],[Idade]]&gt;50,1,0)</f>
        <v>0</v>
      </c>
      <c r="O717">
        <f>YEAR(Tabela1[[#This Row],[Data Nasc.]])</f>
        <v>1981</v>
      </c>
    </row>
    <row r="718" spans="9:15" x14ac:dyDescent="0.25">
      <c r="I718" s="14">
        <f>MATCH(J718,J:J,0)</f>
        <v>55</v>
      </c>
      <c r="J718" s="14" t="s">
        <v>197</v>
      </c>
      <c r="M718">
        <f>IF(Tabela1[[#This Row],[Qtd Filhos]]&gt;=8,1,0)</f>
        <v>0</v>
      </c>
      <c r="N718">
        <f>IF(Tabela1[[#This Row],[Idade]]&gt;50,1,0)</f>
        <v>0</v>
      </c>
      <c r="O718">
        <f>YEAR(Tabela1[[#This Row],[Data Nasc.]])</f>
        <v>1998</v>
      </c>
    </row>
    <row r="719" spans="9:15" x14ac:dyDescent="0.25">
      <c r="I719" s="14">
        <f>MATCH(J719,J:J,0)</f>
        <v>10</v>
      </c>
      <c r="J719" s="14" t="s">
        <v>152</v>
      </c>
      <c r="M719">
        <f>IF(Tabela1[[#This Row],[Qtd Filhos]]&gt;=8,1,0)</f>
        <v>0</v>
      </c>
      <c r="N719">
        <f>IF(Tabela1[[#This Row],[Idade]]&gt;50,1,0)</f>
        <v>1</v>
      </c>
      <c r="O719">
        <f>YEAR(Tabela1[[#This Row],[Data Nasc.]])</f>
        <v>1969</v>
      </c>
    </row>
    <row r="720" spans="9:15" x14ac:dyDescent="0.25">
      <c r="I720" s="14">
        <f>MATCH(J720,J:J,0)</f>
        <v>9</v>
      </c>
      <c r="J720" s="14" t="s">
        <v>229</v>
      </c>
      <c r="M720">
        <f>IF(Tabela1[[#This Row],[Qtd Filhos]]&gt;=8,1,0)</f>
        <v>0</v>
      </c>
      <c r="N720">
        <f>IF(Tabela1[[#This Row],[Idade]]&gt;50,1,0)</f>
        <v>0</v>
      </c>
      <c r="O720">
        <f>YEAR(Tabela1[[#This Row],[Data Nasc.]])</f>
        <v>1988</v>
      </c>
    </row>
    <row r="721" spans="9:15" x14ac:dyDescent="0.25">
      <c r="I721" s="14">
        <f>MATCH(J721,J:J,0)</f>
        <v>153</v>
      </c>
      <c r="J721" s="14" t="s">
        <v>277</v>
      </c>
      <c r="M721">
        <f>IF(Tabela1[[#This Row],[Qtd Filhos]]&gt;=8,1,0)</f>
        <v>0</v>
      </c>
      <c r="N721">
        <f>IF(Tabela1[[#This Row],[Idade]]&gt;50,1,0)</f>
        <v>0</v>
      </c>
      <c r="O721">
        <f>YEAR(Tabela1[[#This Row],[Data Nasc.]])</f>
        <v>1999</v>
      </c>
    </row>
    <row r="722" spans="9:15" x14ac:dyDescent="0.25">
      <c r="I722" s="14">
        <f>MATCH(J722,J:J,0)</f>
        <v>241</v>
      </c>
      <c r="J722" s="14" t="s">
        <v>121</v>
      </c>
      <c r="M722">
        <f>IF(Tabela1[[#This Row],[Qtd Filhos]]&gt;=8,1,0)</f>
        <v>0</v>
      </c>
      <c r="N722">
        <f>IF(Tabela1[[#This Row],[Idade]]&gt;50,1,0)</f>
        <v>1</v>
      </c>
      <c r="O722">
        <f>YEAR(Tabela1[[#This Row],[Data Nasc.]])</f>
        <v>1967</v>
      </c>
    </row>
    <row r="723" spans="9:15" x14ac:dyDescent="0.25">
      <c r="I723" s="14">
        <f>MATCH(J723,J:J,0)</f>
        <v>62</v>
      </c>
      <c r="J723" s="14" t="s">
        <v>261</v>
      </c>
      <c r="M723">
        <f>IF(Tabela1[[#This Row],[Qtd Filhos]]&gt;=8,1,0)</f>
        <v>0</v>
      </c>
      <c r="N723">
        <f>IF(Tabela1[[#This Row],[Idade]]&gt;50,1,0)</f>
        <v>0</v>
      </c>
      <c r="O723">
        <f>YEAR(Tabela1[[#This Row],[Data Nasc.]])</f>
        <v>1986</v>
      </c>
    </row>
    <row r="724" spans="9:15" x14ac:dyDescent="0.25">
      <c r="I724" s="14">
        <f>MATCH(J724,J:J,0)</f>
        <v>43</v>
      </c>
      <c r="J724" s="14" t="s">
        <v>154</v>
      </c>
      <c r="M724">
        <f>IF(Tabela1[[#This Row],[Qtd Filhos]]&gt;=8,1,0)</f>
        <v>0</v>
      </c>
      <c r="N724">
        <f>IF(Tabela1[[#This Row],[Idade]]&gt;50,1,0)</f>
        <v>0</v>
      </c>
      <c r="O724">
        <f>YEAR(Tabela1[[#This Row],[Data Nasc.]])</f>
        <v>1992</v>
      </c>
    </row>
    <row r="725" spans="9:15" x14ac:dyDescent="0.25">
      <c r="I725" s="14">
        <f>MATCH(J725,J:J,0)</f>
        <v>477</v>
      </c>
      <c r="J725" s="14" t="s">
        <v>269</v>
      </c>
      <c r="M725">
        <f>IF(Tabela1[[#This Row],[Qtd Filhos]]&gt;=8,1,0)</f>
        <v>0</v>
      </c>
      <c r="N725">
        <f>IF(Tabela1[[#This Row],[Idade]]&gt;50,1,0)</f>
        <v>0</v>
      </c>
      <c r="O725">
        <f>YEAR(Tabela1[[#This Row],[Data Nasc.]])</f>
        <v>1991</v>
      </c>
    </row>
    <row r="726" spans="9:15" x14ac:dyDescent="0.25">
      <c r="I726" s="14">
        <f>MATCH(J726,J:J,0)</f>
        <v>62</v>
      </c>
      <c r="J726" s="14" t="s">
        <v>261</v>
      </c>
      <c r="M726">
        <f>IF(Tabela1[[#This Row],[Qtd Filhos]]&gt;=8,1,0)</f>
        <v>0</v>
      </c>
      <c r="N726">
        <f>IF(Tabela1[[#This Row],[Idade]]&gt;50,1,0)</f>
        <v>1</v>
      </c>
      <c r="O726">
        <f>YEAR(Tabela1[[#This Row],[Data Nasc.]])</f>
        <v>1961</v>
      </c>
    </row>
    <row r="727" spans="9:15" x14ac:dyDescent="0.25">
      <c r="I727" s="14">
        <f>MATCH(J727,J:J,0)</f>
        <v>28</v>
      </c>
      <c r="J727" s="14" t="s">
        <v>211</v>
      </c>
      <c r="M727">
        <f>IF(Tabela1[[#This Row],[Qtd Filhos]]&gt;=8,1,0)</f>
        <v>0</v>
      </c>
      <c r="N727">
        <f>IF(Tabela1[[#This Row],[Idade]]&gt;50,1,0)</f>
        <v>1</v>
      </c>
      <c r="O727">
        <f>YEAR(Tabela1[[#This Row],[Data Nasc.]])</f>
        <v>1975</v>
      </c>
    </row>
    <row r="728" spans="9:15" x14ac:dyDescent="0.25">
      <c r="I728" s="14">
        <f>MATCH(J728,J:J,0)</f>
        <v>256</v>
      </c>
      <c r="J728" s="14" t="s">
        <v>188</v>
      </c>
      <c r="M728">
        <f>IF(Tabela1[[#This Row],[Qtd Filhos]]&gt;=8,1,0)</f>
        <v>0</v>
      </c>
      <c r="N728">
        <f>IF(Tabela1[[#This Row],[Idade]]&gt;50,1,0)</f>
        <v>1</v>
      </c>
      <c r="O728">
        <f>YEAR(Tabela1[[#This Row],[Data Nasc.]])</f>
        <v>1970</v>
      </c>
    </row>
    <row r="729" spans="9:15" x14ac:dyDescent="0.25">
      <c r="I729" s="14">
        <f>MATCH(J729,J:J,0)</f>
        <v>241</v>
      </c>
      <c r="J729" s="14" t="s">
        <v>121</v>
      </c>
      <c r="M729">
        <f>IF(Tabela1[[#This Row],[Qtd Filhos]]&gt;=8,1,0)</f>
        <v>0</v>
      </c>
      <c r="N729">
        <f>IF(Tabela1[[#This Row],[Idade]]&gt;50,1,0)</f>
        <v>0</v>
      </c>
      <c r="O729">
        <f>YEAR(Tabela1[[#This Row],[Data Nasc.]])</f>
        <v>1987</v>
      </c>
    </row>
    <row r="730" spans="9:15" x14ac:dyDescent="0.25">
      <c r="I730" s="14">
        <f>MATCH(J730,J:J,0)</f>
        <v>679</v>
      </c>
      <c r="J730" s="14" t="s">
        <v>74</v>
      </c>
      <c r="M730">
        <f>IF(Tabela1[[#This Row],[Qtd Filhos]]&gt;=8,1,0)</f>
        <v>0</v>
      </c>
      <c r="N730">
        <f>IF(Tabela1[[#This Row],[Idade]]&gt;50,1,0)</f>
        <v>0</v>
      </c>
      <c r="O730">
        <f>YEAR(Tabela1[[#This Row],[Data Nasc.]])</f>
        <v>1991</v>
      </c>
    </row>
    <row r="731" spans="9:15" x14ac:dyDescent="0.25">
      <c r="I731" s="14">
        <f>MATCH(J731,J:J,0)</f>
        <v>477</v>
      </c>
      <c r="J731" s="14" t="s">
        <v>269</v>
      </c>
      <c r="M731">
        <f>IF(Tabela1[[#This Row],[Qtd Filhos]]&gt;=8,1,0)</f>
        <v>0</v>
      </c>
      <c r="N731">
        <f>IF(Tabela1[[#This Row],[Idade]]&gt;50,1,0)</f>
        <v>0</v>
      </c>
      <c r="O731">
        <f>YEAR(Tabela1[[#This Row],[Data Nasc.]])</f>
        <v>2001</v>
      </c>
    </row>
    <row r="732" spans="9:15" x14ac:dyDescent="0.25">
      <c r="I732" s="14">
        <f>MATCH(J732,J:J,0)</f>
        <v>91</v>
      </c>
      <c r="J732" s="14" t="s">
        <v>248</v>
      </c>
      <c r="M732">
        <f>IF(Tabela1[[#This Row],[Qtd Filhos]]&gt;=8,1,0)</f>
        <v>0</v>
      </c>
      <c r="N732">
        <f>IF(Tabela1[[#This Row],[Idade]]&gt;50,1,0)</f>
        <v>0</v>
      </c>
      <c r="O732">
        <f>YEAR(Tabela1[[#This Row],[Data Nasc.]])</f>
        <v>1987</v>
      </c>
    </row>
    <row r="733" spans="9:15" x14ac:dyDescent="0.25">
      <c r="I733" s="14">
        <f>MATCH(J733,J:J,0)</f>
        <v>41</v>
      </c>
      <c r="J733" s="14" t="s">
        <v>253</v>
      </c>
      <c r="M733">
        <f>IF(Tabela1[[#This Row],[Qtd Filhos]]&gt;=8,1,0)</f>
        <v>0</v>
      </c>
      <c r="N733">
        <f>IF(Tabela1[[#This Row],[Idade]]&gt;50,1,0)</f>
        <v>0</v>
      </c>
      <c r="O733">
        <f>YEAR(Tabela1[[#This Row],[Data Nasc.]])</f>
        <v>1981</v>
      </c>
    </row>
    <row r="734" spans="9:15" x14ac:dyDescent="0.25">
      <c r="I734" s="14">
        <f>MATCH(J734,J:J,0)</f>
        <v>25</v>
      </c>
      <c r="J734" s="14" t="s">
        <v>214</v>
      </c>
      <c r="M734">
        <f>IF(Tabela1[[#This Row],[Qtd Filhos]]&gt;=8,1,0)</f>
        <v>0</v>
      </c>
      <c r="N734">
        <f>IF(Tabela1[[#This Row],[Idade]]&gt;50,1,0)</f>
        <v>1</v>
      </c>
      <c r="O734">
        <f>YEAR(Tabela1[[#This Row],[Data Nasc.]])</f>
        <v>1973</v>
      </c>
    </row>
    <row r="735" spans="9:15" x14ac:dyDescent="0.25">
      <c r="I735" s="14">
        <f>MATCH(J735,J:J,0)</f>
        <v>230</v>
      </c>
      <c r="J735" s="14" t="s">
        <v>216</v>
      </c>
      <c r="M735">
        <f>IF(Tabela1[[#This Row],[Qtd Filhos]]&gt;=8,1,0)</f>
        <v>0</v>
      </c>
      <c r="N735">
        <f>IF(Tabela1[[#This Row],[Idade]]&gt;50,1,0)</f>
        <v>0</v>
      </c>
      <c r="O735">
        <f>YEAR(Tabela1[[#This Row],[Data Nasc.]])</f>
        <v>2000</v>
      </c>
    </row>
    <row r="736" spans="9:15" x14ac:dyDescent="0.25">
      <c r="I736" s="14">
        <f>MATCH(J736,J:J,0)</f>
        <v>6</v>
      </c>
      <c r="J736" s="14" t="s">
        <v>289</v>
      </c>
      <c r="M736">
        <f>IF(Tabela1[[#This Row],[Qtd Filhos]]&gt;=8,1,0)</f>
        <v>0</v>
      </c>
      <c r="N736">
        <f>IF(Tabela1[[#This Row],[Idade]]&gt;50,1,0)</f>
        <v>0</v>
      </c>
      <c r="O736">
        <f>YEAR(Tabela1[[#This Row],[Data Nasc.]])</f>
        <v>2002</v>
      </c>
    </row>
    <row r="737" spans="9:15" x14ac:dyDescent="0.25">
      <c r="I737" s="14">
        <f>MATCH(J737,J:J,0)</f>
        <v>87</v>
      </c>
      <c r="J737" s="14" t="s">
        <v>95</v>
      </c>
      <c r="M737">
        <f>IF(Tabela1[[#This Row],[Qtd Filhos]]&gt;=8,1,0)</f>
        <v>0</v>
      </c>
      <c r="N737">
        <f>IF(Tabela1[[#This Row],[Idade]]&gt;50,1,0)</f>
        <v>0</v>
      </c>
      <c r="O737">
        <f>YEAR(Tabela1[[#This Row],[Data Nasc.]])</f>
        <v>1988</v>
      </c>
    </row>
    <row r="738" spans="9:15" x14ac:dyDescent="0.25">
      <c r="I738" s="14">
        <f>MATCH(J738,J:J,0)</f>
        <v>345</v>
      </c>
      <c r="J738" s="14" t="s">
        <v>105</v>
      </c>
      <c r="M738">
        <f>IF(Tabela1[[#This Row],[Qtd Filhos]]&gt;=8,1,0)</f>
        <v>0</v>
      </c>
      <c r="N738">
        <f>IF(Tabela1[[#This Row],[Idade]]&gt;50,1,0)</f>
        <v>0</v>
      </c>
      <c r="O738">
        <f>YEAR(Tabela1[[#This Row],[Data Nasc.]])</f>
        <v>1981</v>
      </c>
    </row>
    <row r="739" spans="9:15" x14ac:dyDescent="0.25">
      <c r="I739" s="14">
        <f>MATCH(J739,J:J,0)</f>
        <v>21</v>
      </c>
      <c r="J739" s="14" t="s">
        <v>244</v>
      </c>
      <c r="M739">
        <f>IF(Tabela1[[#This Row],[Qtd Filhos]]&gt;=8,1,0)</f>
        <v>0</v>
      </c>
      <c r="N739">
        <f>IF(Tabela1[[#This Row],[Idade]]&gt;50,1,0)</f>
        <v>0</v>
      </c>
      <c r="O739">
        <f>YEAR(Tabela1[[#This Row],[Data Nasc.]])</f>
        <v>2001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7F32-71B4-46B5-B1FE-8C310E69B880}">
  <sheetPr codeName="Planilha1"/>
  <dimension ref="A1:Q739"/>
  <sheetViews>
    <sheetView workbookViewId="0">
      <selection activeCell="G1" sqref="G1:G1048576"/>
    </sheetView>
  </sheetViews>
  <sheetFormatPr defaultRowHeight="15" x14ac:dyDescent="0.25"/>
  <cols>
    <col min="1" max="1" width="5" customWidth="1"/>
    <col min="2" max="2" width="32.7109375" bestFit="1" customWidth="1"/>
    <col min="3" max="3" width="12.28515625" customWidth="1"/>
    <col min="4" max="4" width="8.140625" customWidth="1"/>
    <col min="5" max="5" width="39.5703125" bestFit="1" customWidth="1"/>
    <col min="6" max="6" width="9.7109375" style="1" bestFit="1" customWidth="1"/>
    <col min="7" max="7" width="24.28515625" bestFit="1" customWidth="1"/>
    <col min="8" max="8" width="5.5703125" customWidth="1"/>
    <col min="9" max="9" width="11" style="1" bestFit="1" customWidth="1"/>
    <col min="10" max="10" width="13.140625" style="1" bestFit="1" customWidth="1"/>
    <col min="11" max="11" width="32" bestFit="1" customWidth="1"/>
    <col min="12" max="12" width="30.5703125" bestFit="1" customWidth="1"/>
    <col min="13" max="13" width="8.5703125" bestFit="1" customWidth="1"/>
    <col min="14" max="14" width="19.42578125" bestFit="1" customWidth="1"/>
    <col min="15" max="15" width="13.28515625" customWidth="1"/>
    <col min="16" max="16" width="15.5703125" customWidth="1"/>
    <col min="17" max="24" width="12.140625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s="1" t="s">
        <v>8</v>
      </c>
      <c r="J1" s="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>
        <v>1</v>
      </c>
      <c r="B2" t="s">
        <v>302</v>
      </c>
      <c r="C2" s="2">
        <v>27116</v>
      </c>
      <c r="D2">
        <v>52</v>
      </c>
      <c r="E2" t="s">
        <v>303</v>
      </c>
      <c r="F2" s="1" t="s">
        <v>55</v>
      </c>
      <c r="G2" t="s">
        <v>56</v>
      </c>
      <c r="H2" t="s">
        <v>57</v>
      </c>
      <c r="I2" s="1" t="s">
        <v>304</v>
      </c>
      <c r="J2" s="1" t="s">
        <v>305</v>
      </c>
      <c r="K2" t="s">
        <v>306</v>
      </c>
      <c r="L2" t="s">
        <v>307</v>
      </c>
      <c r="M2" t="s">
        <v>48</v>
      </c>
      <c r="N2" t="s">
        <v>99</v>
      </c>
      <c r="O2" t="s">
        <v>35</v>
      </c>
      <c r="P2" t="s">
        <v>29</v>
      </c>
      <c r="Q2">
        <v>0</v>
      </c>
    </row>
    <row r="3" spans="1:17" x14ac:dyDescent="0.25">
      <c r="A3">
        <v>2</v>
      </c>
      <c r="B3" t="s">
        <v>308</v>
      </c>
      <c r="C3" s="2">
        <v>22456</v>
      </c>
      <c r="D3">
        <v>65</v>
      </c>
      <c r="E3" t="s">
        <v>309</v>
      </c>
      <c r="F3" s="1" t="s">
        <v>102</v>
      </c>
      <c r="G3" t="s">
        <v>103</v>
      </c>
      <c r="H3" t="s">
        <v>104</v>
      </c>
      <c r="I3" s="1" t="s">
        <v>310</v>
      </c>
      <c r="J3" s="1" t="s">
        <v>311</v>
      </c>
      <c r="K3" t="s">
        <v>312</v>
      </c>
      <c r="L3" t="s">
        <v>313</v>
      </c>
      <c r="M3" t="s">
        <v>48</v>
      </c>
      <c r="N3" t="s">
        <v>21</v>
      </c>
      <c r="O3" t="s">
        <v>50</v>
      </c>
      <c r="P3" t="s">
        <v>23</v>
      </c>
      <c r="Q3">
        <v>1</v>
      </c>
    </row>
    <row r="4" spans="1:17" x14ac:dyDescent="0.25">
      <c r="A4">
        <v>3</v>
      </c>
      <c r="B4" t="s">
        <v>314</v>
      </c>
      <c r="C4" s="2">
        <v>35082</v>
      </c>
      <c r="D4">
        <v>30</v>
      </c>
      <c r="E4" t="s">
        <v>315</v>
      </c>
      <c r="F4" s="1" t="s">
        <v>280</v>
      </c>
      <c r="G4" t="s">
        <v>281</v>
      </c>
      <c r="H4" t="s">
        <v>249</v>
      </c>
      <c r="I4" s="1" t="s">
        <v>316</v>
      </c>
      <c r="J4" s="1" t="s">
        <v>317</v>
      </c>
      <c r="K4" t="s">
        <v>318</v>
      </c>
      <c r="L4" t="s">
        <v>319</v>
      </c>
      <c r="M4" t="s">
        <v>27</v>
      </c>
      <c r="N4" t="s">
        <v>212</v>
      </c>
      <c r="O4" t="s">
        <v>40</v>
      </c>
      <c r="P4" t="s">
        <v>29</v>
      </c>
      <c r="Q4">
        <v>0</v>
      </c>
    </row>
    <row r="5" spans="1:17" x14ac:dyDescent="0.25">
      <c r="A5">
        <v>4</v>
      </c>
      <c r="B5" t="s">
        <v>320</v>
      </c>
      <c r="C5" s="2">
        <v>28836</v>
      </c>
      <c r="D5">
        <v>48</v>
      </c>
      <c r="E5" t="s">
        <v>321</v>
      </c>
      <c r="F5" s="1" t="s">
        <v>170</v>
      </c>
      <c r="G5" t="s">
        <v>171</v>
      </c>
      <c r="H5" t="s">
        <v>57</v>
      </c>
      <c r="I5" s="1" t="s">
        <v>322</v>
      </c>
      <c r="J5" s="1" t="s">
        <v>323</v>
      </c>
      <c r="K5" t="s">
        <v>324</v>
      </c>
      <c r="L5" t="s">
        <v>325</v>
      </c>
      <c r="M5" t="s">
        <v>20</v>
      </c>
      <c r="N5" t="s">
        <v>49</v>
      </c>
      <c r="O5" t="s">
        <v>40</v>
      </c>
      <c r="P5" t="s">
        <v>23</v>
      </c>
      <c r="Q5">
        <v>1</v>
      </c>
    </row>
    <row r="6" spans="1:17" x14ac:dyDescent="0.25">
      <c r="A6">
        <v>5</v>
      </c>
      <c r="B6" t="s">
        <v>326</v>
      </c>
      <c r="C6" s="2">
        <v>35457</v>
      </c>
      <c r="D6">
        <v>29</v>
      </c>
      <c r="E6" t="s">
        <v>327</v>
      </c>
      <c r="F6" s="1" t="s">
        <v>288</v>
      </c>
      <c r="G6" t="s">
        <v>289</v>
      </c>
      <c r="H6" t="s">
        <v>87</v>
      </c>
      <c r="I6" s="1" t="s">
        <v>328</v>
      </c>
      <c r="J6" s="1" t="s">
        <v>329</v>
      </c>
      <c r="K6" t="s">
        <v>330</v>
      </c>
      <c r="L6" t="s">
        <v>331</v>
      </c>
      <c r="M6" t="s">
        <v>48</v>
      </c>
      <c r="N6" t="s">
        <v>88</v>
      </c>
      <c r="O6" t="s">
        <v>50</v>
      </c>
      <c r="P6" t="s">
        <v>23</v>
      </c>
      <c r="Q6">
        <v>1</v>
      </c>
    </row>
    <row r="7" spans="1:17" x14ac:dyDescent="0.25">
      <c r="A7">
        <v>6</v>
      </c>
      <c r="B7" t="s">
        <v>332</v>
      </c>
      <c r="C7" s="2">
        <v>28340</v>
      </c>
      <c r="D7">
        <v>49</v>
      </c>
      <c r="E7" t="s">
        <v>333</v>
      </c>
      <c r="F7" s="1" t="s">
        <v>117</v>
      </c>
      <c r="G7" t="s">
        <v>118</v>
      </c>
      <c r="H7" t="s">
        <v>119</v>
      </c>
      <c r="I7" s="1" t="s">
        <v>334</v>
      </c>
      <c r="J7" s="1" t="s">
        <v>335</v>
      </c>
      <c r="K7" t="s">
        <v>336</v>
      </c>
      <c r="L7" t="s">
        <v>337</v>
      </c>
      <c r="M7" t="s">
        <v>27</v>
      </c>
      <c r="N7" t="s">
        <v>99</v>
      </c>
      <c r="O7" t="s">
        <v>22</v>
      </c>
      <c r="P7" t="s">
        <v>23</v>
      </c>
      <c r="Q7">
        <v>2</v>
      </c>
    </row>
    <row r="8" spans="1:17" x14ac:dyDescent="0.25">
      <c r="A8">
        <v>7</v>
      </c>
      <c r="B8" t="s">
        <v>338</v>
      </c>
      <c r="C8" s="2">
        <v>31950</v>
      </c>
      <c r="D8">
        <v>39</v>
      </c>
      <c r="E8" t="s">
        <v>339</v>
      </c>
      <c r="F8" s="1" t="s">
        <v>191</v>
      </c>
      <c r="G8" t="s">
        <v>192</v>
      </c>
      <c r="H8" t="s">
        <v>126</v>
      </c>
      <c r="I8" s="1" t="s">
        <v>340</v>
      </c>
      <c r="J8" s="1" t="s">
        <v>341</v>
      </c>
      <c r="K8" t="s">
        <v>342</v>
      </c>
      <c r="L8" t="s">
        <v>343</v>
      </c>
      <c r="M8" t="s">
        <v>48</v>
      </c>
      <c r="N8" t="s">
        <v>82</v>
      </c>
      <c r="O8" t="s">
        <v>35</v>
      </c>
      <c r="P8" t="s">
        <v>23</v>
      </c>
      <c r="Q8">
        <v>1</v>
      </c>
    </row>
    <row r="9" spans="1:17" x14ac:dyDescent="0.25">
      <c r="A9">
        <v>8</v>
      </c>
      <c r="B9" t="s">
        <v>344</v>
      </c>
      <c r="C9" s="2">
        <v>36849</v>
      </c>
      <c r="D9">
        <v>26</v>
      </c>
      <c r="E9" t="s">
        <v>345</v>
      </c>
      <c r="F9" s="1" t="s">
        <v>228</v>
      </c>
      <c r="G9" t="s">
        <v>229</v>
      </c>
      <c r="H9" t="s">
        <v>126</v>
      </c>
      <c r="I9" s="1" t="s">
        <v>346</v>
      </c>
      <c r="J9" s="1" t="s">
        <v>347</v>
      </c>
      <c r="K9" t="s">
        <v>348</v>
      </c>
      <c r="L9" t="s">
        <v>349</v>
      </c>
      <c r="M9" t="s">
        <v>48</v>
      </c>
      <c r="N9" t="s">
        <v>88</v>
      </c>
      <c r="O9" t="s">
        <v>50</v>
      </c>
      <c r="P9" t="s">
        <v>29</v>
      </c>
      <c r="Q9">
        <v>0</v>
      </c>
    </row>
    <row r="10" spans="1:17" x14ac:dyDescent="0.25">
      <c r="A10">
        <v>9</v>
      </c>
      <c r="B10" t="s">
        <v>350</v>
      </c>
      <c r="C10" s="2">
        <v>23472</v>
      </c>
      <c r="D10">
        <v>62</v>
      </c>
      <c r="E10" t="s">
        <v>351</v>
      </c>
      <c r="F10" s="1" t="s">
        <v>151</v>
      </c>
      <c r="G10" t="s">
        <v>152</v>
      </c>
      <c r="H10" t="s">
        <v>81</v>
      </c>
      <c r="I10" s="1" t="s">
        <v>352</v>
      </c>
      <c r="J10" s="1" t="s">
        <v>353</v>
      </c>
      <c r="K10" t="s">
        <v>354</v>
      </c>
      <c r="L10" t="s">
        <v>355</v>
      </c>
      <c r="M10" t="s">
        <v>48</v>
      </c>
      <c r="N10" t="s">
        <v>78</v>
      </c>
      <c r="O10" t="s">
        <v>59</v>
      </c>
      <c r="P10" t="s">
        <v>29</v>
      </c>
      <c r="Q10">
        <v>0</v>
      </c>
    </row>
    <row r="11" spans="1:17" x14ac:dyDescent="0.25">
      <c r="A11">
        <v>10</v>
      </c>
      <c r="B11" t="s">
        <v>356</v>
      </c>
      <c r="C11" s="2">
        <v>37160</v>
      </c>
      <c r="D11">
        <v>25</v>
      </c>
      <c r="E11" t="s">
        <v>357</v>
      </c>
      <c r="F11" s="1" t="s">
        <v>165</v>
      </c>
      <c r="G11" t="s">
        <v>166</v>
      </c>
      <c r="H11" t="s">
        <v>65</v>
      </c>
      <c r="I11" s="1" t="s">
        <v>358</v>
      </c>
      <c r="J11" s="1" t="s">
        <v>359</v>
      </c>
      <c r="K11" t="s">
        <v>360</v>
      </c>
      <c r="L11" t="s">
        <v>361</v>
      </c>
      <c r="M11" t="s">
        <v>27</v>
      </c>
      <c r="N11" t="s">
        <v>99</v>
      </c>
      <c r="O11" t="s">
        <v>35</v>
      </c>
      <c r="P11" t="s">
        <v>23</v>
      </c>
      <c r="Q11">
        <v>3</v>
      </c>
    </row>
    <row r="12" spans="1:17" x14ac:dyDescent="0.25">
      <c r="A12">
        <v>11</v>
      </c>
      <c r="B12" t="s">
        <v>362</v>
      </c>
      <c r="C12" s="2">
        <v>22596</v>
      </c>
      <c r="D12">
        <v>65</v>
      </c>
      <c r="E12" t="s">
        <v>363</v>
      </c>
      <c r="F12" s="1" t="s">
        <v>272</v>
      </c>
      <c r="G12" t="s">
        <v>273</v>
      </c>
      <c r="H12" t="s">
        <v>180</v>
      </c>
      <c r="I12" s="1" t="s">
        <v>364</v>
      </c>
      <c r="J12" s="1" t="s">
        <v>365</v>
      </c>
      <c r="K12" t="s">
        <v>366</v>
      </c>
      <c r="L12" t="s">
        <v>367</v>
      </c>
      <c r="M12" t="s">
        <v>48</v>
      </c>
      <c r="N12" t="s">
        <v>99</v>
      </c>
      <c r="O12" t="s">
        <v>35</v>
      </c>
      <c r="P12" t="s">
        <v>29</v>
      </c>
      <c r="Q12">
        <v>0</v>
      </c>
    </row>
    <row r="13" spans="1:17" x14ac:dyDescent="0.25">
      <c r="A13">
        <v>12</v>
      </c>
      <c r="B13" t="s">
        <v>368</v>
      </c>
      <c r="C13" s="2">
        <v>36686</v>
      </c>
      <c r="D13">
        <v>26</v>
      </c>
      <c r="E13" t="s">
        <v>369</v>
      </c>
      <c r="F13" s="1" t="s">
        <v>280</v>
      </c>
      <c r="G13" t="s">
        <v>281</v>
      </c>
      <c r="H13" t="s">
        <v>249</v>
      </c>
      <c r="I13" s="1" t="s">
        <v>370</v>
      </c>
      <c r="J13" s="1" t="s">
        <v>371</v>
      </c>
      <c r="K13" t="s">
        <v>372</v>
      </c>
      <c r="L13" t="s">
        <v>373</v>
      </c>
      <c r="M13" t="s">
        <v>48</v>
      </c>
      <c r="N13" t="s">
        <v>99</v>
      </c>
      <c r="O13" t="s">
        <v>50</v>
      </c>
      <c r="P13" t="s">
        <v>29</v>
      </c>
      <c r="Q13">
        <v>0</v>
      </c>
    </row>
    <row r="14" spans="1:17" x14ac:dyDescent="0.25">
      <c r="A14">
        <v>13</v>
      </c>
      <c r="B14" t="s">
        <v>374</v>
      </c>
      <c r="C14" s="2">
        <v>36411</v>
      </c>
      <c r="D14">
        <v>27</v>
      </c>
      <c r="E14" t="s">
        <v>375</v>
      </c>
      <c r="F14" s="1" t="s">
        <v>183</v>
      </c>
      <c r="G14" t="s">
        <v>184</v>
      </c>
      <c r="H14" t="s">
        <v>169</v>
      </c>
      <c r="I14" s="1" t="s">
        <v>376</v>
      </c>
      <c r="J14" s="1" t="s">
        <v>377</v>
      </c>
      <c r="K14" t="s">
        <v>378</v>
      </c>
      <c r="L14" t="s">
        <v>379</v>
      </c>
      <c r="M14" t="s">
        <v>33</v>
      </c>
      <c r="N14" t="s">
        <v>193</v>
      </c>
      <c r="O14" t="s">
        <v>50</v>
      </c>
      <c r="P14" t="s">
        <v>29</v>
      </c>
      <c r="Q14">
        <v>0</v>
      </c>
    </row>
    <row r="15" spans="1:17" x14ac:dyDescent="0.25">
      <c r="A15">
        <v>14</v>
      </c>
      <c r="B15" t="s">
        <v>380</v>
      </c>
      <c r="C15" s="2">
        <v>38524</v>
      </c>
      <c r="D15">
        <v>21</v>
      </c>
      <c r="E15" t="s">
        <v>381</v>
      </c>
      <c r="F15" s="1" t="s">
        <v>30</v>
      </c>
      <c r="G15" t="s">
        <v>31</v>
      </c>
      <c r="H15" t="s">
        <v>32</v>
      </c>
      <c r="I15" s="1" t="s">
        <v>382</v>
      </c>
      <c r="J15" s="1" t="s">
        <v>383</v>
      </c>
      <c r="K15" t="s">
        <v>384</v>
      </c>
      <c r="L15" t="s">
        <v>385</v>
      </c>
      <c r="M15" t="s">
        <v>48</v>
      </c>
      <c r="N15" t="s">
        <v>54</v>
      </c>
      <c r="O15" t="s">
        <v>50</v>
      </c>
      <c r="P15" t="s">
        <v>29</v>
      </c>
      <c r="Q15">
        <v>0</v>
      </c>
    </row>
    <row r="16" spans="1:17" x14ac:dyDescent="0.25">
      <c r="A16">
        <v>15</v>
      </c>
      <c r="B16" t="s">
        <v>386</v>
      </c>
      <c r="C16" s="2">
        <v>29025</v>
      </c>
      <c r="D16">
        <v>47</v>
      </c>
      <c r="E16" t="s">
        <v>387</v>
      </c>
      <c r="F16" s="1" t="s">
        <v>228</v>
      </c>
      <c r="G16" t="s">
        <v>229</v>
      </c>
      <c r="H16" t="s">
        <v>126</v>
      </c>
      <c r="I16" s="1" t="s">
        <v>388</v>
      </c>
      <c r="J16" s="1" t="s">
        <v>389</v>
      </c>
      <c r="K16" t="s">
        <v>390</v>
      </c>
      <c r="L16" t="s">
        <v>391</v>
      </c>
      <c r="M16" t="s">
        <v>27</v>
      </c>
      <c r="N16" t="s">
        <v>82</v>
      </c>
      <c r="O16" t="s">
        <v>22</v>
      </c>
      <c r="P16" t="s">
        <v>29</v>
      </c>
      <c r="Q16">
        <v>0</v>
      </c>
    </row>
    <row r="17" spans="1:17" x14ac:dyDescent="0.25">
      <c r="A17">
        <v>16</v>
      </c>
      <c r="B17" t="s">
        <v>392</v>
      </c>
      <c r="C17" s="2">
        <v>39454</v>
      </c>
      <c r="D17">
        <v>18</v>
      </c>
      <c r="E17" t="s">
        <v>393</v>
      </c>
      <c r="F17" s="1" t="s">
        <v>142</v>
      </c>
      <c r="G17" t="s">
        <v>143</v>
      </c>
      <c r="H17" t="s">
        <v>19</v>
      </c>
      <c r="I17" s="1" t="s">
        <v>394</v>
      </c>
      <c r="J17" s="1" t="s">
        <v>395</v>
      </c>
      <c r="K17" t="s">
        <v>396</v>
      </c>
      <c r="L17" t="s">
        <v>397</v>
      </c>
      <c r="M17" t="s">
        <v>33</v>
      </c>
      <c r="N17" t="s">
        <v>39</v>
      </c>
      <c r="O17" t="s">
        <v>40</v>
      </c>
      <c r="P17" t="s">
        <v>23</v>
      </c>
      <c r="Q17">
        <v>1</v>
      </c>
    </row>
    <row r="18" spans="1:17" x14ac:dyDescent="0.25">
      <c r="A18">
        <v>17</v>
      </c>
      <c r="B18" t="s">
        <v>398</v>
      </c>
      <c r="C18" s="2">
        <v>25187</v>
      </c>
      <c r="D18">
        <v>58</v>
      </c>
      <c r="E18" t="s">
        <v>399</v>
      </c>
      <c r="F18" s="1" t="s">
        <v>41</v>
      </c>
      <c r="G18" t="s">
        <v>42</v>
      </c>
      <c r="H18" t="s">
        <v>43</v>
      </c>
      <c r="I18" s="1" t="s">
        <v>400</v>
      </c>
      <c r="J18" s="1" t="s">
        <v>401</v>
      </c>
      <c r="K18" t="s">
        <v>402</v>
      </c>
      <c r="L18" t="s">
        <v>403</v>
      </c>
      <c r="M18" t="s">
        <v>33</v>
      </c>
      <c r="N18" t="s">
        <v>72</v>
      </c>
      <c r="O18" t="s">
        <v>40</v>
      </c>
      <c r="P18" t="s">
        <v>23</v>
      </c>
      <c r="Q18">
        <v>1</v>
      </c>
    </row>
    <row r="19" spans="1:17" x14ac:dyDescent="0.25">
      <c r="A19">
        <v>18</v>
      </c>
      <c r="B19" t="s">
        <v>404</v>
      </c>
      <c r="C19" s="2">
        <v>35541</v>
      </c>
      <c r="D19">
        <v>29</v>
      </c>
      <c r="E19" t="s">
        <v>405</v>
      </c>
      <c r="F19" s="1" t="s">
        <v>79</v>
      </c>
      <c r="G19" t="s">
        <v>80</v>
      </c>
      <c r="H19" t="s">
        <v>81</v>
      </c>
      <c r="I19" s="1" t="s">
        <v>406</v>
      </c>
      <c r="J19" s="1" t="s">
        <v>407</v>
      </c>
      <c r="K19" t="s">
        <v>408</v>
      </c>
      <c r="L19" t="s">
        <v>409</v>
      </c>
      <c r="M19" t="s">
        <v>33</v>
      </c>
      <c r="N19" t="s">
        <v>82</v>
      </c>
      <c r="O19" t="s">
        <v>50</v>
      </c>
      <c r="P19" t="s">
        <v>23</v>
      </c>
      <c r="Q19">
        <v>2</v>
      </c>
    </row>
    <row r="20" spans="1:17" x14ac:dyDescent="0.25">
      <c r="A20">
        <v>19</v>
      </c>
      <c r="B20" t="s">
        <v>410</v>
      </c>
      <c r="C20" s="2">
        <v>27731</v>
      </c>
      <c r="D20">
        <v>51</v>
      </c>
      <c r="E20" t="s">
        <v>411</v>
      </c>
      <c r="F20" s="1" t="s">
        <v>142</v>
      </c>
      <c r="G20" t="s">
        <v>143</v>
      </c>
      <c r="H20" t="s">
        <v>19</v>
      </c>
      <c r="I20" s="1" t="s">
        <v>412</v>
      </c>
      <c r="J20" s="1" t="s">
        <v>413</v>
      </c>
      <c r="K20" t="s">
        <v>414</v>
      </c>
      <c r="L20" t="s">
        <v>415</v>
      </c>
      <c r="M20" t="s">
        <v>48</v>
      </c>
      <c r="N20" t="s">
        <v>67</v>
      </c>
      <c r="O20" t="s">
        <v>50</v>
      </c>
      <c r="P20" t="s">
        <v>23</v>
      </c>
      <c r="Q20">
        <v>1</v>
      </c>
    </row>
    <row r="21" spans="1:17" x14ac:dyDescent="0.25">
      <c r="A21">
        <v>20</v>
      </c>
      <c r="B21" t="s">
        <v>416</v>
      </c>
      <c r="C21" s="2">
        <v>25863</v>
      </c>
      <c r="D21">
        <v>56</v>
      </c>
      <c r="E21" t="s">
        <v>417</v>
      </c>
      <c r="F21" s="1" t="s">
        <v>243</v>
      </c>
      <c r="G21" t="s">
        <v>244</v>
      </c>
      <c r="H21" t="s">
        <v>135</v>
      </c>
      <c r="I21" s="1" t="s">
        <v>418</v>
      </c>
      <c r="J21" s="1" t="s">
        <v>419</v>
      </c>
      <c r="K21" t="s">
        <v>420</v>
      </c>
      <c r="L21" t="s">
        <v>421</v>
      </c>
      <c r="M21" t="s">
        <v>27</v>
      </c>
      <c r="N21" t="s">
        <v>39</v>
      </c>
      <c r="O21" t="s">
        <v>59</v>
      </c>
      <c r="P21" t="s">
        <v>23</v>
      </c>
      <c r="Q21">
        <v>2</v>
      </c>
    </row>
    <row r="22" spans="1:17" x14ac:dyDescent="0.25">
      <c r="A22">
        <v>21</v>
      </c>
      <c r="B22" t="s">
        <v>422</v>
      </c>
      <c r="C22" s="2">
        <v>37052</v>
      </c>
      <c r="D22">
        <v>25</v>
      </c>
      <c r="E22" t="s">
        <v>423</v>
      </c>
      <c r="F22" s="1" t="s">
        <v>41</v>
      </c>
      <c r="G22" t="s">
        <v>42</v>
      </c>
      <c r="H22" t="s">
        <v>43</v>
      </c>
      <c r="I22" s="1" t="s">
        <v>424</v>
      </c>
      <c r="J22" s="1" t="s">
        <v>425</v>
      </c>
      <c r="K22" t="s">
        <v>426</v>
      </c>
      <c r="L22" t="s">
        <v>427</v>
      </c>
      <c r="M22" t="s">
        <v>27</v>
      </c>
      <c r="N22" t="s">
        <v>34</v>
      </c>
      <c r="O22" t="s">
        <v>22</v>
      </c>
      <c r="P22" t="s">
        <v>23</v>
      </c>
      <c r="Q22">
        <v>1</v>
      </c>
    </row>
    <row r="23" spans="1:17" x14ac:dyDescent="0.25">
      <c r="A23">
        <v>22</v>
      </c>
      <c r="B23" t="s">
        <v>428</v>
      </c>
      <c r="C23" s="2">
        <v>38346</v>
      </c>
      <c r="D23">
        <v>22</v>
      </c>
      <c r="E23" t="s">
        <v>429</v>
      </c>
      <c r="F23" s="1" t="s">
        <v>282</v>
      </c>
      <c r="G23" t="s">
        <v>283</v>
      </c>
      <c r="H23" t="s">
        <v>53</v>
      </c>
      <c r="I23" s="1" t="s">
        <v>430</v>
      </c>
      <c r="J23" s="1" t="s">
        <v>431</v>
      </c>
      <c r="K23" t="s">
        <v>432</v>
      </c>
      <c r="L23" t="s">
        <v>433</v>
      </c>
      <c r="M23" t="s">
        <v>33</v>
      </c>
      <c r="N23" t="s">
        <v>72</v>
      </c>
      <c r="O23" t="s">
        <v>59</v>
      </c>
      <c r="P23" t="s">
        <v>23</v>
      </c>
      <c r="Q23">
        <v>3</v>
      </c>
    </row>
    <row r="24" spans="1:17" x14ac:dyDescent="0.25">
      <c r="A24">
        <v>23</v>
      </c>
      <c r="B24" t="s">
        <v>434</v>
      </c>
      <c r="C24" s="2">
        <v>39154</v>
      </c>
      <c r="D24">
        <v>19</v>
      </c>
      <c r="E24" t="s">
        <v>435</v>
      </c>
      <c r="F24" s="1" t="s">
        <v>295</v>
      </c>
      <c r="G24" t="s">
        <v>225</v>
      </c>
      <c r="H24" t="s">
        <v>87</v>
      </c>
      <c r="I24" s="1" t="s">
        <v>436</v>
      </c>
      <c r="J24" s="1" t="s">
        <v>437</v>
      </c>
      <c r="K24" t="s">
        <v>438</v>
      </c>
      <c r="L24" t="s">
        <v>439</v>
      </c>
      <c r="M24" t="s">
        <v>33</v>
      </c>
      <c r="N24" t="s">
        <v>114</v>
      </c>
      <c r="O24" t="s">
        <v>35</v>
      </c>
      <c r="P24" t="s">
        <v>29</v>
      </c>
      <c r="Q24">
        <v>0</v>
      </c>
    </row>
    <row r="25" spans="1:17" x14ac:dyDescent="0.25">
      <c r="A25">
        <v>24</v>
      </c>
      <c r="B25" t="s">
        <v>440</v>
      </c>
      <c r="C25" s="2">
        <v>38992</v>
      </c>
      <c r="D25">
        <v>20</v>
      </c>
      <c r="E25" t="s">
        <v>441</v>
      </c>
      <c r="F25" s="1" t="s">
        <v>213</v>
      </c>
      <c r="G25" t="s">
        <v>214</v>
      </c>
      <c r="H25" t="s">
        <v>119</v>
      </c>
      <c r="I25" s="1" t="s">
        <v>442</v>
      </c>
      <c r="J25" s="1" t="s">
        <v>443</v>
      </c>
      <c r="K25" t="s">
        <v>444</v>
      </c>
      <c r="L25" t="s">
        <v>445</v>
      </c>
      <c r="M25" t="s">
        <v>33</v>
      </c>
      <c r="N25" t="s">
        <v>82</v>
      </c>
      <c r="O25" t="s">
        <v>40</v>
      </c>
      <c r="P25" t="s">
        <v>29</v>
      </c>
      <c r="Q25">
        <v>0</v>
      </c>
    </row>
    <row r="26" spans="1:17" x14ac:dyDescent="0.25">
      <c r="A26">
        <v>25</v>
      </c>
      <c r="B26" t="s">
        <v>446</v>
      </c>
      <c r="C26" s="2">
        <v>37983</v>
      </c>
      <c r="D26">
        <v>23</v>
      </c>
      <c r="E26" t="s">
        <v>447</v>
      </c>
      <c r="F26" s="1" t="s">
        <v>286</v>
      </c>
      <c r="G26" t="s">
        <v>287</v>
      </c>
      <c r="H26" t="s">
        <v>32</v>
      </c>
      <c r="I26" s="1" t="s">
        <v>448</v>
      </c>
      <c r="J26" s="1" t="s">
        <v>449</v>
      </c>
      <c r="K26" t="s">
        <v>450</v>
      </c>
      <c r="L26" t="s">
        <v>451</v>
      </c>
      <c r="M26" t="s">
        <v>27</v>
      </c>
      <c r="N26" t="s">
        <v>58</v>
      </c>
      <c r="O26" t="s">
        <v>59</v>
      </c>
      <c r="P26" t="s">
        <v>29</v>
      </c>
      <c r="Q26">
        <v>0</v>
      </c>
    </row>
    <row r="27" spans="1:17" x14ac:dyDescent="0.25">
      <c r="A27">
        <v>26</v>
      </c>
      <c r="B27" t="s">
        <v>452</v>
      </c>
      <c r="C27" s="2">
        <v>26657</v>
      </c>
      <c r="D27">
        <v>54</v>
      </c>
      <c r="E27" t="s">
        <v>453</v>
      </c>
      <c r="F27" s="1" t="s">
        <v>206</v>
      </c>
      <c r="G27" t="s">
        <v>207</v>
      </c>
      <c r="H27" t="s">
        <v>53</v>
      </c>
      <c r="I27" s="1" t="s">
        <v>454</v>
      </c>
      <c r="J27" s="1" t="s">
        <v>455</v>
      </c>
      <c r="K27" t="s">
        <v>456</v>
      </c>
      <c r="L27" t="s">
        <v>457</v>
      </c>
      <c r="M27" t="s">
        <v>48</v>
      </c>
      <c r="N27" t="s">
        <v>58</v>
      </c>
      <c r="O27" t="s">
        <v>35</v>
      </c>
      <c r="P27" t="s">
        <v>29</v>
      </c>
      <c r="Q27">
        <v>0</v>
      </c>
    </row>
    <row r="28" spans="1:17" x14ac:dyDescent="0.25">
      <c r="A28">
        <v>27</v>
      </c>
      <c r="B28" t="s">
        <v>458</v>
      </c>
      <c r="C28" s="2">
        <v>33452</v>
      </c>
      <c r="D28">
        <v>35</v>
      </c>
      <c r="E28" t="s">
        <v>459</v>
      </c>
      <c r="F28" s="1" t="s">
        <v>210</v>
      </c>
      <c r="G28" t="s">
        <v>211</v>
      </c>
      <c r="H28" t="s">
        <v>57</v>
      </c>
      <c r="I28" s="1" t="s">
        <v>460</v>
      </c>
      <c r="J28" s="1" t="s">
        <v>461</v>
      </c>
      <c r="K28" t="s">
        <v>462</v>
      </c>
      <c r="L28" t="s">
        <v>463</v>
      </c>
      <c r="M28" t="s">
        <v>27</v>
      </c>
      <c r="N28" t="s">
        <v>212</v>
      </c>
      <c r="O28" t="s">
        <v>50</v>
      </c>
      <c r="P28" t="s">
        <v>23</v>
      </c>
      <c r="Q28">
        <v>1</v>
      </c>
    </row>
    <row r="29" spans="1:17" x14ac:dyDescent="0.25">
      <c r="A29">
        <v>28</v>
      </c>
      <c r="B29" t="s">
        <v>464</v>
      </c>
      <c r="C29" s="2">
        <v>38256</v>
      </c>
      <c r="D29">
        <v>22</v>
      </c>
      <c r="E29" t="s">
        <v>465</v>
      </c>
      <c r="F29" s="1" t="s">
        <v>208</v>
      </c>
      <c r="G29" t="s">
        <v>209</v>
      </c>
      <c r="H29" t="s">
        <v>62</v>
      </c>
      <c r="I29" s="1" t="s">
        <v>466</v>
      </c>
      <c r="J29" s="1" t="s">
        <v>467</v>
      </c>
      <c r="K29" t="s">
        <v>468</v>
      </c>
      <c r="L29" t="s">
        <v>469</v>
      </c>
      <c r="M29" t="s">
        <v>27</v>
      </c>
      <c r="N29" t="s">
        <v>99</v>
      </c>
      <c r="O29" t="s">
        <v>35</v>
      </c>
      <c r="P29" t="s">
        <v>29</v>
      </c>
      <c r="Q29">
        <v>0</v>
      </c>
    </row>
    <row r="30" spans="1:17" x14ac:dyDescent="0.25">
      <c r="A30">
        <v>29</v>
      </c>
      <c r="B30" t="s">
        <v>470</v>
      </c>
      <c r="C30" s="2">
        <v>38565</v>
      </c>
      <c r="D30">
        <v>21</v>
      </c>
      <c r="E30" t="s">
        <v>471</v>
      </c>
      <c r="F30" s="1" t="s">
        <v>157</v>
      </c>
      <c r="G30" t="s">
        <v>158</v>
      </c>
      <c r="H30" t="s">
        <v>71</v>
      </c>
      <c r="I30" s="1" t="s">
        <v>472</v>
      </c>
      <c r="J30" s="1" t="s">
        <v>473</v>
      </c>
      <c r="K30" t="s">
        <v>474</v>
      </c>
      <c r="L30" t="s">
        <v>475</v>
      </c>
      <c r="M30" t="s">
        <v>27</v>
      </c>
      <c r="N30" t="s">
        <v>193</v>
      </c>
      <c r="O30" t="s">
        <v>40</v>
      </c>
      <c r="P30" t="s">
        <v>23</v>
      </c>
      <c r="Q30">
        <v>7</v>
      </c>
    </row>
    <row r="31" spans="1:17" x14ac:dyDescent="0.25">
      <c r="A31">
        <v>30</v>
      </c>
      <c r="B31" t="s">
        <v>476</v>
      </c>
      <c r="C31" s="2">
        <v>35240</v>
      </c>
      <c r="D31">
        <v>30</v>
      </c>
      <c r="E31" t="s">
        <v>477</v>
      </c>
      <c r="F31" s="1" t="s">
        <v>239</v>
      </c>
      <c r="G31" t="s">
        <v>240</v>
      </c>
      <c r="H31" t="s">
        <v>119</v>
      </c>
      <c r="I31" s="1" t="s">
        <v>478</v>
      </c>
      <c r="J31" s="1" t="s">
        <v>479</v>
      </c>
      <c r="K31" t="s">
        <v>480</v>
      </c>
      <c r="L31" t="s">
        <v>481</v>
      </c>
      <c r="M31" t="s">
        <v>68</v>
      </c>
      <c r="N31" t="s">
        <v>99</v>
      </c>
      <c r="O31" t="s">
        <v>40</v>
      </c>
      <c r="P31" t="s">
        <v>23</v>
      </c>
      <c r="Q31">
        <v>1</v>
      </c>
    </row>
    <row r="32" spans="1:17" x14ac:dyDescent="0.25">
      <c r="A32">
        <v>31</v>
      </c>
      <c r="B32" t="s">
        <v>482</v>
      </c>
      <c r="C32" s="2">
        <v>30887</v>
      </c>
      <c r="D32">
        <v>42</v>
      </c>
      <c r="E32" t="s">
        <v>483</v>
      </c>
      <c r="F32" s="1" t="s">
        <v>163</v>
      </c>
      <c r="G32" t="s">
        <v>164</v>
      </c>
      <c r="H32" t="s">
        <v>32</v>
      </c>
      <c r="I32" s="1" t="s">
        <v>484</v>
      </c>
      <c r="J32" s="1" t="s">
        <v>485</v>
      </c>
      <c r="K32" t="s">
        <v>486</v>
      </c>
      <c r="L32" t="s">
        <v>487</v>
      </c>
      <c r="M32" t="s">
        <v>33</v>
      </c>
      <c r="N32" t="s">
        <v>34</v>
      </c>
      <c r="O32" t="s">
        <v>35</v>
      </c>
      <c r="P32" t="s">
        <v>29</v>
      </c>
      <c r="Q32">
        <v>0</v>
      </c>
    </row>
    <row r="33" spans="1:17" x14ac:dyDescent="0.25">
      <c r="A33">
        <v>32</v>
      </c>
      <c r="B33" t="s">
        <v>488</v>
      </c>
      <c r="C33" s="2">
        <v>26404</v>
      </c>
      <c r="D33">
        <v>54</v>
      </c>
      <c r="E33" t="s">
        <v>489</v>
      </c>
      <c r="F33" s="1" t="s">
        <v>262</v>
      </c>
      <c r="G33" t="s">
        <v>263</v>
      </c>
      <c r="H33" t="s">
        <v>19</v>
      </c>
      <c r="I33" s="1" t="s">
        <v>490</v>
      </c>
      <c r="J33" s="1" t="s">
        <v>491</v>
      </c>
      <c r="K33" t="s">
        <v>492</v>
      </c>
      <c r="L33" t="s">
        <v>493</v>
      </c>
      <c r="M33" t="s">
        <v>33</v>
      </c>
      <c r="N33" t="s">
        <v>193</v>
      </c>
      <c r="O33" t="s">
        <v>22</v>
      </c>
      <c r="P33" t="s">
        <v>23</v>
      </c>
      <c r="Q33">
        <v>3</v>
      </c>
    </row>
    <row r="34" spans="1:17" x14ac:dyDescent="0.25">
      <c r="A34">
        <v>33</v>
      </c>
      <c r="B34" t="s">
        <v>494</v>
      </c>
      <c r="C34" s="2">
        <v>39703</v>
      </c>
      <c r="D34">
        <v>18</v>
      </c>
      <c r="E34" t="s">
        <v>495</v>
      </c>
      <c r="F34" s="1" t="s">
        <v>234</v>
      </c>
      <c r="G34" t="s">
        <v>235</v>
      </c>
      <c r="H34" t="s">
        <v>236</v>
      </c>
      <c r="I34" s="1" t="s">
        <v>496</v>
      </c>
      <c r="J34" s="1" t="s">
        <v>497</v>
      </c>
      <c r="K34" t="s">
        <v>498</v>
      </c>
      <c r="L34" t="s">
        <v>499</v>
      </c>
      <c r="M34" t="s">
        <v>33</v>
      </c>
      <c r="N34" t="s">
        <v>150</v>
      </c>
      <c r="O34" t="s">
        <v>22</v>
      </c>
      <c r="P34" t="s">
        <v>23</v>
      </c>
      <c r="Q34">
        <v>1</v>
      </c>
    </row>
    <row r="35" spans="1:17" x14ac:dyDescent="0.25">
      <c r="A35">
        <v>34</v>
      </c>
      <c r="B35" t="s">
        <v>500</v>
      </c>
      <c r="C35" s="2">
        <v>36876</v>
      </c>
      <c r="D35">
        <v>26</v>
      </c>
      <c r="E35" t="s">
        <v>501</v>
      </c>
      <c r="F35" s="1" t="s">
        <v>183</v>
      </c>
      <c r="G35" t="s">
        <v>184</v>
      </c>
      <c r="H35" t="s">
        <v>169</v>
      </c>
      <c r="I35" s="1" t="s">
        <v>502</v>
      </c>
      <c r="J35" s="1" t="s">
        <v>503</v>
      </c>
      <c r="K35" t="s">
        <v>504</v>
      </c>
      <c r="L35" t="s">
        <v>505</v>
      </c>
      <c r="M35" t="s">
        <v>48</v>
      </c>
      <c r="N35" t="s">
        <v>88</v>
      </c>
      <c r="O35" t="s">
        <v>50</v>
      </c>
      <c r="P35" t="s">
        <v>29</v>
      </c>
      <c r="Q35">
        <v>0</v>
      </c>
    </row>
    <row r="36" spans="1:17" x14ac:dyDescent="0.25">
      <c r="A36">
        <v>35</v>
      </c>
      <c r="B36" t="s">
        <v>506</v>
      </c>
      <c r="C36" s="2">
        <v>34464</v>
      </c>
      <c r="D36">
        <v>32</v>
      </c>
      <c r="E36" t="s">
        <v>507</v>
      </c>
      <c r="F36" s="1" t="s">
        <v>262</v>
      </c>
      <c r="G36" t="s">
        <v>263</v>
      </c>
      <c r="H36" t="s">
        <v>19</v>
      </c>
      <c r="I36" s="1" t="s">
        <v>508</v>
      </c>
      <c r="J36" s="1" t="s">
        <v>509</v>
      </c>
      <c r="K36" t="s">
        <v>510</v>
      </c>
      <c r="L36" t="s">
        <v>511</v>
      </c>
      <c r="M36" t="s">
        <v>48</v>
      </c>
      <c r="N36" t="s">
        <v>114</v>
      </c>
      <c r="O36" t="s">
        <v>40</v>
      </c>
      <c r="P36" t="s">
        <v>23</v>
      </c>
      <c r="Q36">
        <v>1</v>
      </c>
    </row>
    <row r="37" spans="1:17" x14ac:dyDescent="0.25">
      <c r="A37">
        <v>36</v>
      </c>
      <c r="B37" t="s">
        <v>512</v>
      </c>
      <c r="C37" s="2">
        <v>38637</v>
      </c>
      <c r="D37">
        <v>21</v>
      </c>
      <c r="E37" t="s">
        <v>513</v>
      </c>
      <c r="F37" s="1" t="s">
        <v>146</v>
      </c>
      <c r="G37" t="s">
        <v>147</v>
      </c>
      <c r="H37" t="s">
        <v>47</v>
      </c>
      <c r="I37" s="1" t="s">
        <v>514</v>
      </c>
      <c r="J37" s="1" t="s">
        <v>515</v>
      </c>
      <c r="K37" t="s">
        <v>516</v>
      </c>
      <c r="L37" t="s">
        <v>517</v>
      </c>
      <c r="M37" t="s">
        <v>48</v>
      </c>
      <c r="N37" t="s">
        <v>82</v>
      </c>
      <c r="O37" t="s">
        <v>59</v>
      </c>
      <c r="P37" t="s">
        <v>29</v>
      </c>
      <c r="Q37">
        <v>0</v>
      </c>
    </row>
    <row r="38" spans="1:17" x14ac:dyDescent="0.25">
      <c r="A38">
        <v>37</v>
      </c>
      <c r="B38" t="s">
        <v>518</v>
      </c>
      <c r="C38" s="2">
        <v>22841</v>
      </c>
      <c r="D38">
        <v>64</v>
      </c>
      <c r="E38" t="s">
        <v>519</v>
      </c>
      <c r="F38" s="1" t="s">
        <v>245</v>
      </c>
      <c r="G38" t="s">
        <v>246</v>
      </c>
      <c r="H38" t="s">
        <v>96</v>
      </c>
      <c r="I38" s="1" t="s">
        <v>520</v>
      </c>
      <c r="J38" s="1" t="s">
        <v>521</v>
      </c>
      <c r="K38" t="s">
        <v>522</v>
      </c>
      <c r="L38" t="s">
        <v>523</v>
      </c>
      <c r="M38" t="s">
        <v>27</v>
      </c>
      <c r="N38" t="s">
        <v>150</v>
      </c>
      <c r="O38" t="s">
        <v>40</v>
      </c>
      <c r="P38" t="s">
        <v>23</v>
      </c>
      <c r="Q38">
        <v>1</v>
      </c>
    </row>
    <row r="39" spans="1:17" x14ac:dyDescent="0.25">
      <c r="A39">
        <v>38</v>
      </c>
      <c r="B39" t="s">
        <v>524</v>
      </c>
      <c r="C39" s="2">
        <v>36788</v>
      </c>
      <c r="D39">
        <v>26</v>
      </c>
      <c r="E39" t="s">
        <v>525</v>
      </c>
      <c r="F39" s="1" t="s">
        <v>183</v>
      </c>
      <c r="G39" t="s">
        <v>184</v>
      </c>
      <c r="H39" t="s">
        <v>169</v>
      </c>
      <c r="I39" s="1" t="s">
        <v>526</v>
      </c>
      <c r="J39" s="1" t="s">
        <v>527</v>
      </c>
      <c r="K39" t="s">
        <v>528</v>
      </c>
      <c r="L39" t="s">
        <v>529</v>
      </c>
      <c r="M39" t="s">
        <v>48</v>
      </c>
      <c r="N39" t="s">
        <v>88</v>
      </c>
      <c r="O39" t="s">
        <v>35</v>
      </c>
      <c r="P39" t="s">
        <v>23</v>
      </c>
      <c r="Q39">
        <v>1</v>
      </c>
    </row>
    <row r="40" spans="1:17" x14ac:dyDescent="0.25">
      <c r="A40">
        <v>39</v>
      </c>
      <c r="B40" t="s">
        <v>530</v>
      </c>
      <c r="C40" s="2">
        <v>31118</v>
      </c>
      <c r="D40">
        <v>41</v>
      </c>
      <c r="E40" t="s">
        <v>531</v>
      </c>
      <c r="F40" s="1" t="s">
        <v>172</v>
      </c>
      <c r="G40" t="s">
        <v>173</v>
      </c>
      <c r="H40" t="s">
        <v>110</v>
      </c>
      <c r="I40" s="1" t="s">
        <v>532</v>
      </c>
      <c r="J40" s="1" t="s">
        <v>533</v>
      </c>
      <c r="K40" t="s">
        <v>534</v>
      </c>
      <c r="L40" t="s">
        <v>535</v>
      </c>
      <c r="M40" t="s">
        <v>27</v>
      </c>
      <c r="N40" t="s">
        <v>54</v>
      </c>
      <c r="O40" t="s">
        <v>35</v>
      </c>
      <c r="P40" t="s">
        <v>23</v>
      </c>
      <c r="Q40">
        <v>13</v>
      </c>
    </row>
    <row r="41" spans="1:17" x14ac:dyDescent="0.25">
      <c r="A41">
        <v>40</v>
      </c>
      <c r="B41" t="s">
        <v>536</v>
      </c>
      <c r="C41" s="2">
        <v>38608</v>
      </c>
      <c r="D41">
        <v>21</v>
      </c>
      <c r="E41" t="s">
        <v>537</v>
      </c>
      <c r="F41" s="1" t="s">
        <v>252</v>
      </c>
      <c r="G41" t="s">
        <v>253</v>
      </c>
      <c r="H41" t="s">
        <v>81</v>
      </c>
      <c r="I41" s="1" t="s">
        <v>538</v>
      </c>
      <c r="J41" s="1" t="s">
        <v>539</v>
      </c>
      <c r="K41" t="s">
        <v>540</v>
      </c>
      <c r="L41" t="s">
        <v>541</v>
      </c>
      <c r="M41" t="s">
        <v>27</v>
      </c>
      <c r="N41" t="s">
        <v>99</v>
      </c>
      <c r="O41" t="s">
        <v>40</v>
      </c>
      <c r="P41" t="s">
        <v>29</v>
      </c>
      <c r="Q41">
        <v>0</v>
      </c>
    </row>
    <row r="42" spans="1:17" x14ac:dyDescent="0.25">
      <c r="A42">
        <v>41</v>
      </c>
      <c r="B42" t="s">
        <v>542</v>
      </c>
      <c r="C42" s="2">
        <v>38217</v>
      </c>
      <c r="D42">
        <v>22</v>
      </c>
      <c r="E42" t="s">
        <v>543</v>
      </c>
      <c r="F42" s="1" t="s">
        <v>219</v>
      </c>
      <c r="G42" t="s">
        <v>220</v>
      </c>
      <c r="H42" t="s">
        <v>71</v>
      </c>
      <c r="I42" s="1" t="s">
        <v>544</v>
      </c>
      <c r="J42" s="1" t="s">
        <v>545</v>
      </c>
      <c r="K42" t="s">
        <v>546</v>
      </c>
      <c r="L42" t="s">
        <v>547</v>
      </c>
      <c r="M42" t="s">
        <v>27</v>
      </c>
      <c r="N42" t="s">
        <v>106</v>
      </c>
      <c r="O42" t="s">
        <v>35</v>
      </c>
      <c r="P42" t="s">
        <v>29</v>
      </c>
      <c r="Q42">
        <v>0</v>
      </c>
    </row>
    <row r="43" spans="1:17" x14ac:dyDescent="0.25">
      <c r="A43">
        <v>42</v>
      </c>
      <c r="B43" t="s">
        <v>548</v>
      </c>
      <c r="C43" s="2">
        <v>31364</v>
      </c>
      <c r="D43">
        <v>41</v>
      </c>
      <c r="E43" t="s">
        <v>549</v>
      </c>
      <c r="F43" s="1" t="s">
        <v>153</v>
      </c>
      <c r="G43" t="s">
        <v>154</v>
      </c>
      <c r="H43" t="s">
        <v>104</v>
      </c>
      <c r="I43" s="1" t="s">
        <v>550</v>
      </c>
      <c r="J43" s="1" t="s">
        <v>551</v>
      </c>
      <c r="K43" t="s">
        <v>552</v>
      </c>
      <c r="L43" t="s">
        <v>553</v>
      </c>
      <c r="M43" t="s">
        <v>48</v>
      </c>
      <c r="N43" t="s">
        <v>21</v>
      </c>
      <c r="O43" t="s">
        <v>50</v>
      </c>
      <c r="P43" t="s">
        <v>23</v>
      </c>
      <c r="Q43">
        <v>1</v>
      </c>
    </row>
    <row r="44" spans="1:17" x14ac:dyDescent="0.25">
      <c r="A44">
        <v>43</v>
      </c>
      <c r="B44" t="s">
        <v>554</v>
      </c>
      <c r="C44" s="2">
        <v>29457</v>
      </c>
      <c r="D44">
        <v>46</v>
      </c>
      <c r="E44" t="s">
        <v>555</v>
      </c>
      <c r="F44" s="1" t="s">
        <v>191</v>
      </c>
      <c r="G44" t="s">
        <v>192</v>
      </c>
      <c r="H44" t="s">
        <v>126</v>
      </c>
      <c r="I44" s="1" t="s">
        <v>556</v>
      </c>
      <c r="J44" s="1" t="s">
        <v>557</v>
      </c>
      <c r="K44" t="s">
        <v>558</v>
      </c>
      <c r="L44" t="s">
        <v>559</v>
      </c>
      <c r="M44" t="s">
        <v>48</v>
      </c>
      <c r="N44" t="s">
        <v>34</v>
      </c>
      <c r="O44" t="s">
        <v>35</v>
      </c>
      <c r="P44" t="s">
        <v>23</v>
      </c>
      <c r="Q44">
        <v>1</v>
      </c>
    </row>
    <row r="45" spans="1:17" x14ac:dyDescent="0.25">
      <c r="A45">
        <v>44</v>
      </c>
      <c r="B45" t="s">
        <v>560</v>
      </c>
      <c r="C45" s="2">
        <v>24266</v>
      </c>
      <c r="D45">
        <v>60</v>
      </c>
      <c r="E45" t="s">
        <v>561</v>
      </c>
      <c r="F45" s="1" t="s">
        <v>148</v>
      </c>
      <c r="G45" t="s">
        <v>149</v>
      </c>
      <c r="H45" t="s">
        <v>71</v>
      </c>
      <c r="I45" s="1" t="s">
        <v>562</v>
      </c>
      <c r="J45" s="1" t="s">
        <v>563</v>
      </c>
      <c r="K45" t="s">
        <v>564</v>
      </c>
      <c r="L45" t="s">
        <v>565</v>
      </c>
      <c r="M45" t="s">
        <v>33</v>
      </c>
      <c r="N45" t="s">
        <v>193</v>
      </c>
      <c r="O45" t="s">
        <v>40</v>
      </c>
      <c r="P45" t="s">
        <v>23</v>
      </c>
      <c r="Q45">
        <v>1</v>
      </c>
    </row>
    <row r="46" spans="1:17" x14ac:dyDescent="0.25">
      <c r="A46">
        <v>45</v>
      </c>
      <c r="B46" t="s">
        <v>566</v>
      </c>
      <c r="C46" s="2">
        <v>31330</v>
      </c>
      <c r="D46">
        <v>41</v>
      </c>
      <c r="E46" t="s">
        <v>567</v>
      </c>
      <c r="F46" s="1" t="s">
        <v>51</v>
      </c>
      <c r="G46" t="s">
        <v>52</v>
      </c>
      <c r="H46" t="s">
        <v>53</v>
      </c>
      <c r="I46" s="1" t="s">
        <v>568</v>
      </c>
      <c r="J46" s="1" t="s">
        <v>569</v>
      </c>
      <c r="K46" t="s">
        <v>570</v>
      </c>
      <c r="L46" t="s">
        <v>571</v>
      </c>
      <c r="M46" t="s">
        <v>27</v>
      </c>
      <c r="N46" t="s">
        <v>58</v>
      </c>
      <c r="O46" t="s">
        <v>50</v>
      </c>
      <c r="P46" t="s">
        <v>29</v>
      </c>
      <c r="Q46">
        <v>0</v>
      </c>
    </row>
    <row r="47" spans="1:17" x14ac:dyDescent="0.25">
      <c r="A47">
        <v>46</v>
      </c>
      <c r="B47" t="s">
        <v>572</v>
      </c>
      <c r="C47" s="2">
        <v>28161</v>
      </c>
      <c r="D47">
        <v>49</v>
      </c>
      <c r="E47" t="s">
        <v>573</v>
      </c>
      <c r="F47" s="1" t="s">
        <v>288</v>
      </c>
      <c r="G47" t="s">
        <v>289</v>
      </c>
      <c r="H47" t="s">
        <v>87</v>
      </c>
      <c r="I47" s="1" t="s">
        <v>574</v>
      </c>
      <c r="J47" s="1" t="s">
        <v>575</v>
      </c>
      <c r="K47" t="s">
        <v>576</v>
      </c>
      <c r="L47" t="s">
        <v>577</v>
      </c>
      <c r="M47" t="s">
        <v>27</v>
      </c>
      <c r="N47" t="s">
        <v>88</v>
      </c>
      <c r="O47" t="s">
        <v>22</v>
      </c>
      <c r="P47" t="s">
        <v>23</v>
      </c>
      <c r="Q47">
        <v>1</v>
      </c>
    </row>
    <row r="48" spans="1:17" x14ac:dyDescent="0.25">
      <c r="A48">
        <v>47</v>
      </c>
      <c r="B48" t="s">
        <v>578</v>
      </c>
      <c r="C48" s="2">
        <v>24546</v>
      </c>
      <c r="D48">
        <v>59</v>
      </c>
      <c r="E48" t="s">
        <v>579</v>
      </c>
      <c r="F48" s="1" t="s">
        <v>221</v>
      </c>
      <c r="G48" t="s">
        <v>222</v>
      </c>
      <c r="H48" t="s">
        <v>77</v>
      </c>
      <c r="I48" s="1" t="s">
        <v>580</v>
      </c>
      <c r="J48" s="1" t="s">
        <v>581</v>
      </c>
      <c r="K48" t="s">
        <v>582</v>
      </c>
      <c r="L48" t="s">
        <v>583</v>
      </c>
      <c r="M48" t="s">
        <v>27</v>
      </c>
      <c r="N48" t="s">
        <v>66</v>
      </c>
      <c r="O48" t="s">
        <v>35</v>
      </c>
      <c r="P48" t="s">
        <v>23</v>
      </c>
      <c r="Q48">
        <v>4</v>
      </c>
    </row>
    <row r="49" spans="1:17" x14ac:dyDescent="0.25">
      <c r="A49">
        <v>48</v>
      </c>
      <c r="B49" t="s">
        <v>584</v>
      </c>
      <c r="C49" s="2">
        <v>23838</v>
      </c>
      <c r="D49">
        <v>61</v>
      </c>
      <c r="E49" t="s">
        <v>585</v>
      </c>
      <c r="F49" s="1" t="s">
        <v>204</v>
      </c>
      <c r="G49" t="s">
        <v>205</v>
      </c>
      <c r="H49" t="s">
        <v>26</v>
      </c>
      <c r="I49" s="1" t="s">
        <v>586</v>
      </c>
      <c r="J49" s="1" t="s">
        <v>587</v>
      </c>
      <c r="K49" t="s">
        <v>588</v>
      </c>
      <c r="L49" t="s">
        <v>589</v>
      </c>
      <c r="M49" t="s">
        <v>27</v>
      </c>
      <c r="N49" t="s">
        <v>58</v>
      </c>
      <c r="O49" t="s">
        <v>40</v>
      </c>
      <c r="P49" t="s">
        <v>23</v>
      </c>
      <c r="Q49">
        <v>3</v>
      </c>
    </row>
    <row r="50" spans="1:17" x14ac:dyDescent="0.25">
      <c r="A50">
        <v>49</v>
      </c>
      <c r="B50" t="s">
        <v>590</v>
      </c>
      <c r="C50" s="2">
        <v>27767</v>
      </c>
      <c r="D50">
        <v>50</v>
      </c>
      <c r="E50" t="s">
        <v>591</v>
      </c>
      <c r="F50" s="1" t="s">
        <v>36</v>
      </c>
      <c r="G50" t="s">
        <v>37</v>
      </c>
      <c r="H50" t="s">
        <v>38</v>
      </c>
      <c r="I50" s="1" t="s">
        <v>592</v>
      </c>
      <c r="J50" s="1" t="s">
        <v>593</v>
      </c>
      <c r="K50" t="s">
        <v>594</v>
      </c>
      <c r="L50" t="s">
        <v>595</v>
      </c>
      <c r="M50" t="s">
        <v>27</v>
      </c>
      <c r="N50" t="s">
        <v>39</v>
      </c>
      <c r="O50" t="s">
        <v>50</v>
      </c>
      <c r="P50" t="s">
        <v>29</v>
      </c>
      <c r="Q50">
        <v>0</v>
      </c>
    </row>
    <row r="51" spans="1:17" x14ac:dyDescent="0.25">
      <c r="A51">
        <v>50</v>
      </c>
      <c r="B51" t="s">
        <v>596</v>
      </c>
      <c r="C51" s="2">
        <v>34123</v>
      </c>
      <c r="D51">
        <v>33</v>
      </c>
      <c r="E51" t="s">
        <v>597</v>
      </c>
      <c r="F51" s="1" t="s">
        <v>245</v>
      </c>
      <c r="G51" t="s">
        <v>246</v>
      </c>
      <c r="H51" t="s">
        <v>96</v>
      </c>
      <c r="I51" s="1" t="s">
        <v>598</v>
      </c>
      <c r="J51" s="1" t="s">
        <v>599</v>
      </c>
      <c r="K51" t="s">
        <v>600</v>
      </c>
      <c r="L51" t="s">
        <v>601</v>
      </c>
      <c r="M51" t="s">
        <v>27</v>
      </c>
      <c r="N51" t="s">
        <v>78</v>
      </c>
      <c r="O51" t="s">
        <v>59</v>
      </c>
      <c r="P51" t="s">
        <v>29</v>
      </c>
      <c r="Q51">
        <v>0</v>
      </c>
    </row>
    <row r="52" spans="1:17" x14ac:dyDescent="0.25">
      <c r="A52">
        <v>51</v>
      </c>
      <c r="B52" t="s">
        <v>602</v>
      </c>
      <c r="C52" s="2">
        <v>33791</v>
      </c>
      <c r="D52">
        <v>34</v>
      </c>
      <c r="E52" t="s">
        <v>603</v>
      </c>
      <c r="F52" s="1" t="s">
        <v>146</v>
      </c>
      <c r="G52" t="s">
        <v>147</v>
      </c>
      <c r="H52" t="s">
        <v>47</v>
      </c>
      <c r="I52" s="1" t="s">
        <v>604</v>
      </c>
      <c r="J52" s="1" t="s">
        <v>605</v>
      </c>
      <c r="K52" t="s">
        <v>606</v>
      </c>
      <c r="L52" t="s">
        <v>607</v>
      </c>
      <c r="M52" t="s">
        <v>27</v>
      </c>
      <c r="N52" t="s">
        <v>78</v>
      </c>
      <c r="O52" t="s">
        <v>22</v>
      </c>
      <c r="P52" t="s">
        <v>23</v>
      </c>
      <c r="Q52">
        <v>1</v>
      </c>
    </row>
    <row r="53" spans="1:17" x14ac:dyDescent="0.25">
      <c r="A53">
        <v>52</v>
      </c>
      <c r="B53" t="s">
        <v>608</v>
      </c>
      <c r="C53" s="2">
        <v>34398</v>
      </c>
      <c r="D53">
        <v>32</v>
      </c>
      <c r="E53" t="s">
        <v>609</v>
      </c>
      <c r="F53" s="1" t="s">
        <v>270</v>
      </c>
      <c r="G53" t="s">
        <v>271</v>
      </c>
      <c r="H53" t="s">
        <v>81</v>
      </c>
      <c r="I53" s="1" t="s">
        <v>610</v>
      </c>
      <c r="J53" s="1" t="s">
        <v>611</v>
      </c>
      <c r="K53" t="s">
        <v>612</v>
      </c>
      <c r="L53" t="s">
        <v>613</v>
      </c>
      <c r="M53" t="s">
        <v>27</v>
      </c>
      <c r="N53" t="s">
        <v>193</v>
      </c>
      <c r="O53" t="s">
        <v>35</v>
      </c>
      <c r="P53" t="s">
        <v>29</v>
      </c>
      <c r="Q53">
        <v>0</v>
      </c>
    </row>
    <row r="54" spans="1:17" x14ac:dyDescent="0.25">
      <c r="A54">
        <v>53</v>
      </c>
      <c r="B54" t="s">
        <v>614</v>
      </c>
      <c r="C54" s="2">
        <v>23958</v>
      </c>
      <c r="D54">
        <v>61</v>
      </c>
      <c r="E54" t="s">
        <v>615</v>
      </c>
      <c r="F54" s="1" t="s">
        <v>124</v>
      </c>
      <c r="G54" t="s">
        <v>125</v>
      </c>
      <c r="H54" t="s">
        <v>126</v>
      </c>
      <c r="I54" s="1" t="s">
        <v>616</v>
      </c>
      <c r="J54" s="1" t="s">
        <v>617</v>
      </c>
      <c r="K54" t="s">
        <v>618</v>
      </c>
      <c r="L54" t="s">
        <v>619</v>
      </c>
      <c r="M54" t="s">
        <v>48</v>
      </c>
      <c r="N54" t="s">
        <v>66</v>
      </c>
      <c r="O54" t="s">
        <v>40</v>
      </c>
      <c r="P54" t="s">
        <v>23</v>
      </c>
      <c r="Q54">
        <v>3</v>
      </c>
    </row>
    <row r="55" spans="1:17" x14ac:dyDescent="0.25">
      <c r="A55">
        <v>54</v>
      </c>
      <c r="B55" t="s">
        <v>620</v>
      </c>
      <c r="C55" s="2">
        <v>26155</v>
      </c>
      <c r="D55">
        <v>55</v>
      </c>
      <c r="E55" t="s">
        <v>621</v>
      </c>
      <c r="F55" s="1" t="s">
        <v>196</v>
      </c>
      <c r="G55" t="s">
        <v>197</v>
      </c>
      <c r="H55" t="s">
        <v>57</v>
      </c>
      <c r="I55" s="1" t="s">
        <v>622</v>
      </c>
      <c r="J55" s="1" t="s">
        <v>623</v>
      </c>
      <c r="K55" t="s">
        <v>624</v>
      </c>
      <c r="L55" t="s">
        <v>625</v>
      </c>
      <c r="M55" t="s">
        <v>48</v>
      </c>
      <c r="N55" t="s">
        <v>150</v>
      </c>
      <c r="O55" t="s">
        <v>22</v>
      </c>
      <c r="P55" t="s">
        <v>29</v>
      </c>
      <c r="Q55">
        <v>0</v>
      </c>
    </row>
    <row r="56" spans="1:17" x14ac:dyDescent="0.25">
      <c r="A56">
        <v>55</v>
      </c>
      <c r="B56" t="s">
        <v>626</v>
      </c>
      <c r="C56" s="2">
        <v>36222</v>
      </c>
      <c r="D56">
        <v>27</v>
      </c>
      <c r="E56" t="s">
        <v>627</v>
      </c>
      <c r="F56" s="1" t="s">
        <v>17</v>
      </c>
      <c r="G56" t="s">
        <v>18</v>
      </c>
      <c r="H56" t="s">
        <v>19</v>
      </c>
      <c r="I56" s="1" t="s">
        <v>628</v>
      </c>
      <c r="J56" s="1" t="s">
        <v>629</v>
      </c>
      <c r="K56" t="s">
        <v>630</v>
      </c>
      <c r="L56" t="s">
        <v>631</v>
      </c>
      <c r="M56" t="s">
        <v>33</v>
      </c>
      <c r="N56" t="s">
        <v>44</v>
      </c>
      <c r="O56" t="s">
        <v>50</v>
      </c>
      <c r="P56" t="s">
        <v>29</v>
      </c>
      <c r="Q56">
        <v>0</v>
      </c>
    </row>
    <row r="57" spans="1:17" x14ac:dyDescent="0.25">
      <c r="A57">
        <v>56</v>
      </c>
      <c r="B57" t="s">
        <v>632</v>
      </c>
      <c r="C57" s="2">
        <v>31130</v>
      </c>
      <c r="D57">
        <v>41</v>
      </c>
      <c r="E57" t="s">
        <v>633</v>
      </c>
      <c r="F57" s="1" t="s">
        <v>194</v>
      </c>
      <c r="G57" t="s">
        <v>195</v>
      </c>
      <c r="H57" t="s">
        <v>38</v>
      </c>
      <c r="I57" s="1" t="s">
        <v>634</v>
      </c>
      <c r="J57" s="1" t="s">
        <v>635</v>
      </c>
      <c r="K57" t="s">
        <v>636</v>
      </c>
      <c r="L57" t="s">
        <v>637</v>
      </c>
      <c r="M57" t="s">
        <v>27</v>
      </c>
      <c r="N57" t="s">
        <v>212</v>
      </c>
      <c r="O57" t="s">
        <v>22</v>
      </c>
      <c r="P57" t="s">
        <v>23</v>
      </c>
      <c r="Q57">
        <v>3</v>
      </c>
    </row>
    <row r="58" spans="1:17" x14ac:dyDescent="0.25">
      <c r="A58">
        <v>57</v>
      </c>
      <c r="B58" t="s">
        <v>638</v>
      </c>
      <c r="C58" s="2">
        <v>31382</v>
      </c>
      <c r="D58">
        <v>41</v>
      </c>
      <c r="E58" t="s">
        <v>639</v>
      </c>
      <c r="F58" s="1" t="s">
        <v>115</v>
      </c>
      <c r="G58" t="s">
        <v>116</v>
      </c>
      <c r="H58" t="s">
        <v>43</v>
      </c>
      <c r="I58" s="1" t="s">
        <v>640</v>
      </c>
      <c r="J58" s="1" t="s">
        <v>641</v>
      </c>
      <c r="K58" t="s">
        <v>642</v>
      </c>
      <c r="L58" t="s">
        <v>643</v>
      </c>
      <c r="M58" t="s">
        <v>27</v>
      </c>
      <c r="N58" t="s">
        <v>114</v>
      </c>
      <c r="O58" t="s">
        <v>50</v>
      </c>
      <c r="P58" t="s">
        <v>29</v>
      </c>
      <c r="Q58">
        <v>0</v>
      </c>
    </row>
    <row r="59" spans="1:17" x14ac:dyDescent="0.25">
      <c r="A59">
        <v>58</v>
      </c>
      <c r="B59" t="s">
        <v>644</v>
      </c>
      <c r="C59" s="2">
        <v>28224</v>
      </c>
      <c r="D59">
        <v>49</v>
      </c>
      <c r="E59" t="s">
        <v>645</v>
      </c>
      <c r="F59" s="1" t="s">
        <v>208</v>
      </c>
      <c r="G59" t="s">
        <v>209</v>
      </c>
      <c r="H59" t="s">
        <v>62</v>
      </c>
      <c r="I59" s="1" t="s">
        <v>646</v>
      </c>
      <c r="J59" s="1" t="s">
        <v>647</v>
      </c>
      <c r="K59" t="s">
        <v>648</v>
      </c>
      <c r="L59" t="s">
        <v>649</v>
      </c>
      <c r="M59" t="s">
        <v>33</v>
      </c>
      <c r="N59" t="s">
        <v>193</v>
      </c>
      <c r="O59" t="s">
        <v>40</v>
      </c>
      <c r="P59" t="s">
        <v>23</v>
      </c>
      <c r="Q59">
        <v>3</v>
      </c>
    </row>
    <row r="60" spans="1:17" x14ac:dyDescent="0.25">
      <c r="A60">
        <v>59</v>
      </c>
      <c r="B60" t="s">
        <v>650</v>
      </c>
      <c r="C60" s="2">
        <v>39157</v>
      </c>
      <c r="D60">
        <v>19</v>
      </c>
      <c r="E60" t="s">
        <v>651</v>
      </c>
      <c r="F60" s="1" t="s">
        <v>191</v>
      </c>
      <c r="G60" t="s">
        <v>192</v>
      </c>
      <c r="H60" t="s">
        <v>126</v>
      </c>
      <c r="I60" s="1" t="s">
        <v>652</v>
      </c>
      <c r="J60" s="1" t="s">
        <v>653</v>
      </c>
      <c r="K60" t="s">
        <v>654</v>
      </c>
      <c r="L60" t="s">
        <v>655</v>
      </c>
      <c r="M60" t="s">
        <v>27</v>
      </c>
      <c r="N60" t="s">
        <v>49</v>
      </c>
      <c r="O60" t="s">
        <v>22</v>
      </c>
      <c r="P60" t="s">
        <v>29</v>
      </c>
      <c r="Q60">
        <v>0</v>
      </c>
    </row>
    <row r="61" spans="1:17" x14ac:dyDescent="0.25">
      <c r="A61">
        <v>60</v>
      </c>
      <c r="B61" t="s">
        <v>656</v>
      </c>
      <c r="C61" s="2">
        <v>36782</v>
      </c>
      <c r="D61">
        <v>26</v>
      </c>
      <c r="E61" t="s">
        <v>657</v>
      </c>
      <c r="F61" s="1" t="s">
        <v>295</v>
      </c>
      <c r="G61" t="s">
        <v>225</v>
      </c>
      <c r="H61" t="s">
        <v>87</v>
      </c>
      <c r="I61" s="1" t="s">
        <v>658</v>
      </c>
      <c r="J61" s="1" t="s">
        <v>659</v>
      </c>
      <c r="K61" t="s">
        <v>660</v>
      </c>
      <c r="L61" t="s">
        <v>661</v>
      </c>
      <c r="M61" t="s">
        <v>48</v>
      </c>
      <c r="N61" t="s">
        <v>54</v>
      </c>
      <c r="O61" t="s">
        <v>40</v>
      </c>
      <c r="P61" t="s">
        <v>23</v>
      </c>
      <c r="Q61">
        <v>1</v>
      </c>
    </row>
    <row r="62" spans="1:17" x14ac:dyDescent="0.25">
      <c r="A62">
        <v>61</v>
      </c>
      <c r="B62" t="s">
        <v>662</v>
      </c>
      <c r="C62" s="2">
        <v>24499</v>
      </c>
      <c r="D62">
        <v>59</v>
      </c>
      <c r="E62" t="s">
        <v>663</v>
      </c>
      <c r="F62" s="1" t="s">
        <v>260</v>
      </c>
      <c r="G62" t="s">
        <v>261</v>
      </c>
      <c r="H62" t="s">
        <v>47</v>
      </c>
      <c r="I62" s="1" t="s">
        <v>664</v>
      </c>
      <c r="J62" s="1" t="s">
        <v>665</v>
      </c>
      <c r="K62" t="s">
        <v>666</v>
      </c>
      <c r="L62" t="s">
        <v>667</v>
      </c>
      <c r="M62" t="s">
        <v>33</v>
      </c>
      <c r="N62" t="s">
        <v>99</v>
      </c>
      <c r="O62" t="s">
        <v>22</v>
      </c>
      <c r="P62" t="s">
        <v>23</v>
      </c>
      <c r="Q62">
        <v>1</v>
      </c>
    </row>
    <row r="63" spans="1:17" x14ac:dyDescent="0.25">
      <c r="A63">
        <v>62</v>
      </c>
      <c r="B63" t="s">
        <v>668</v>
      </c>
      <c r="C63" s="2">
        <v>29894</v>
      </c>
      <c r="D63">
        <v>45</v>
      </c>
      <c r="E63" t="s">
        <v>669</v>
      </c>
      <c r="F63" s="1" t="s">
        <v>278</v>
      </c>
      <c r="G63" t="s">
        <v>279</v>
      </c>
      <c r="H63" t="s">
        <v>26</v>
      </c>
      <c r="I63" s="1" t="s">
        <v>670</v>
      </c>
      <c r="J63" s="1" t="s">
        <v>671</v>
      </c>
      <c r="K63" t="s">
        <v>672</v>
      </c>
      <c r="L63" t="s">
        <v>673</v>
      </c>
      <c r="M63" t="s">
        <v>48</v>
      </c>
      <c r="N63" t="s">
        <v>88</v>
      </c>
      <c r="O63" t="s">
        <v>40</v>
      </c>
      <c r="P63" t="s">
        <v>23</v>
      </c>
      <c r="Q63">
        <v>2</v>
      </c>
    </row>
    <row r="64" spans="1:17" x14ac:dyDescent="0.25">
      <c r="A64">
        <v>63</v>
      </c>
      <c r="B64" t="s">
        <v>674</v>
      </c>
      <c r="C64" s="2">
        <v>32510</v>
      </c>
      <c r="D64">
        <v>37</v>
      </c>
      <c r="E64" t="s">
        <v>675</v>
      </c>
      <c r="F64" s="1" t="s">
        <v>234</v>
      </c>
      <c r="G64" t="s">
        <v>235</v>
      </c>
      <c r="H64" t="s">
        <v>236</v>
      </c>
      <c r="I64" s="1" t="s">
        <v>676</v>
      </c>
      <c r="J64" s="1" t="s">
        <v>677</v>
      </c>
      <c r="K64" t="s">
        <v>678</v>
      </c>
      <c r="L64" t="s">
        <v>679</v>
      </c>
      <c r="M64" t="s">
        <v>27</v>
      </c>
      <c r="N64" t="s">
        <v>66</v>
      </c>
      <c r="O64" t="s">
        <v>40</v>
      </c>
      <c r="P64" t="s">
        <v>23</v>
      </c>
      <c r="Q64">
        <v>3</v>
      </c>
    </row>
    <row r="65" spans="1:17" x14ac:dyDescent="0.25">
      <c r="A65">
        <v>64</v>
      </c>
      <c r="B65" t="s">
        <v>680</v>
      </c>
      <c r="C65" s="2">
        <v>32250</v>
      </c>
      <c r="D65">
        <v>38</v>
      </c>
      <c r="E65" t="s">
        <v>681</v>
      </c>
      <c r="F65" s="1" t="s">
        <v>63</v>
      </c>
      <c r="G65" t="s">
        <v>64</v>
      </c>
      <c r="H65" t="s">
        <v>65</v>
      </c>
      <c r="I65" s="1" t="s">
        <v>682</v>
      </c>
      <c r="J65" s="1" t="s">
        <v>683</v>
      </c>
      <c r="K65" t="s">
        <v>684</v>
      </c>
      <c r="L65" t="s">
        <v>685</v>
      </c>
      <c r="M65" t="s">
        <v>27</v>
      </c>
      <c r="N65" t="s">
        <v>49</v>
      </c>
      <c r="O65" t="s">
        <v>59</v>
      </c>
      <c r="P65" t="s">
        <v>23</v>
      </c>
      <c r="Q65">
        <v>2</v>
      </c>
    </row>
    <row r="66" spans="1:17" x14ac:dyDescent="0.25">
      <c r="A66">
        <v>65</v>
      </c>
      <c r="B66" t="s">
        <v>686</v>
      </c>
      <c r="C66" s="2">
        <v>37138</v>
      </c>
      <c r="D66">
        <v>25</v>
      </c>
      <c r="E66" t="s">
        <v>687</v>
      </c>
      <c r="F66" s="1" t="s">
        <v>138</v>
      </c>
      <c r="G66" t="s">
        <v>139</v>
      </c>
      <c r="H66" t="s">
        <v>47</v>
      </c>
      <c r="I66" s="1" t="s">
        <v>688</v>
      </c>
      <c r="J66" s="1" t="s">
        <v>689</v>
      </c>
      <c r="K66" t="s">
        <v>690</v>
      </c>
      <c r="L66" t="s">
        <v>691</v>
      </c>
      <c r="M66" t="s">
        <v>27</v>
      </c>
      <c r="N66" t="s">
        <v>67</v>
      </c>
      <c r="O66" t="s">
        <v>40</v>
      </c>
      <c r="P66" t="s">
        <v>29</v>
      </c>
      <c r="Q66">
        <v>0</v>
      </c>
    </row>
    <row r="67" spans="1:17" x14ac:dyDescent="0.25">
      <c r="A67">
        <v>66</v>
      </c>
      <c r="B67" t="s">
        <v>692</v>
      </c>
      <c r="C67" s="2">
        <v>23219</v>
      </c>
      <c r="D67">
        <v>63</v>
      </c>
      <c r="E67" t="s">
        <v>693</v>
      </c>
      <c r="F67" s="1" t="s">
        <v>36</v>
      </c>
      <c r="G67" t="s">
        <v>37</v>
      </c>
      <c r="H67" t="s">
        <v>38</v>
      </c>
      <c r="I67" s="1" t="s">
        <v>694</v>
      </c>
      <c r="J67" s="1" t="s">
        <v>695</v>
      </c>
      <c r="K67" t="s">
        <v>696</v>
      </c>
      <c r="L67" t="s">
        <v>697</v>
      </c>
      <c r="M67" t="s">
        <v>48</v>
      </c>
      <c r="N67" t="s">
        <v>39</v>
      </c>
      <c r="O67" t="s">
        <v>35</v>
      </c>
      <c r="P67" t="s">
        <v>23</v>
      </c>
      <c r="Q67">
        <v>1</v>
      </c>
    </row>
    <row r="68" spans="1:17" x14ac:dyDescent="0.25">
      <c r="A68">
        <v>67</v>
      </c>
      <c r="B68" t="s">
        <v>698</v>
      </c>
      <c r="C68" s="2">
        <v>23661</v>
      </c>
      <c r="D68">
        <v>62</v>
      </c>
      <c r="E68" t="s">
        <v>699</v>
      </c>
      <c r="F68" s="1" t="s">
        <v>284</v>
      </c>
      <c r="G68" t="s">
        <v>285</v>
      </c>
      <c r="H68" t="s">
        <v>104</v>
      </c>
      <c r="I68" s="1" t="s">
        <v>700</v>
      </c>
      <c r="J68" s="1" t="s">
        <v>701</v>
      </c>
      <c r="K68" t="s">
        <v>702</v>
      </c>
      <c r="L68" t="s">
        <v>703</v>
      </c>
      <c r="M68" t="s">
        <v>48</v>
      </c>
      <c r="N68" t="s">
        <v>114</v>
      </c>
      <c r="O68" t="s">
        <v>35</v>
      </c>
      <c r="P68" t="s">
        <v>29</v>
      </c>
      <c r="Q68">
        <v>0</v>
      </c>
    </row>
    <row r="69" spans="1:17" x14ac:dyDescent="0.25">
      <c r="A69">
        <v>68</v>
      </c>
      <c r="B69" t="s">
        <v>704</v>
      </c>
      <c r="C69" s="2">
        <v>26962</v>
      </c>
      <c r="D69">
        <v>53</v>
      </c>
      <c r="E69" t="s">
        <v>705</v>
      </c>
      <c r="F69" s="1" t="s">
        <v>159</v>
      </c>
      <c r="G69" t="s">
        <v>160</v>
      </c>
      <c r="H69" t="s">
        <v>113</v>
      </c>
      <c r="I69" s="1" t="s">
        <v>706</v>
      </c>
      <c r="J69" s="1" t="s">
        <v>707</v>
      </c>
      <c r="K69" t="s">
        <v>708</v>
      </c>
      <c r="L69" t="s">
        <v>709</v>
      </c>
      <c r="M69" t="s">
        <v>27</v>
      </c>
      <c r="N69" t="s">
        <v>193</v>
      </c>
      <c r="O69" t="s">
        <v>40</v>
      </c>
      <c r="P69" t="s">
        <v>29</v>
      </c>
      <c r="Q69">
        <v>0</v>
      </c>
    </row>
    <row r="70" spans="1:17" x14ac:dyDescent="0.25">
      <c r="A70">
        <v>69</v>
      </c>
      <c r="B70" t="s">
        <v>710</v>
      </c>
      <c r="C70" s="2">
        <v>33963</v>
      </c>
      <c r="D70">
        <v>34</v>
      </c>
      <c r="E70" t="s">
        <v>711</v>
      </c>
      <c r="F70" s="1" t="s">
        <v>83</v>
      </c>
      <c r="G70" t="s">
        <v>84</v>
      </c>
      <c r="H70" t="s">
        <v>26</v>
      </c>
      <c r="I70" s="1" t="s">
        <v>712</v>
      </c>
      <c r="J70" s="1" t="s">
        <v>713</v>
      </c>
      <c r="K70" t="s">
        <v>714</v>
      </c>
      <c r="L70" t="s">
        <v>715</v>
      </c>
      <c r="M70" t="s">
        <v>33</v>
      </c>
      <c r="N70" t="s">
        <v>39</v>
      </c>
      <c r="O70" t="s">
        <v>40</v>
      </c>
      <c r="P70" t="s">
        <v>29</v>
      </c>
      <c r="Q70">
        <v>0</v>
      </c>
    </row>
    <row r="71" spans="1:17" x14ac:dyDescent="0.25">
      <c r="A71">
        <v>70</v>
      </c>
      <c r="B71" t="s">
        <v>716</v>
      </c>
      <c r="C71" s="2">
        <v>27529</v>
      </c>
      <c r="D71">
        <v>51</v>
      </c>
      <c r="E71" t="s">
        <v>717</v>
      </c>
      <c r="F71" s="1" t="s">
        <v>133</v>
      </c>
      <c r="G71" t="s">
        <v>134</v>
      </c>
      <c r="H71" t="s">
        <v>135</v>
      </c>
      <c r="I71" s="1" t="s">
        <v>718</v>
      </c>
      <c r="J71" s="1" t="s">
        <v>719</v>
      </c>
      <c r="K71" t="s">
        <v>720</v>
      </c>
      <c r="L71" t="s">
        <v>721</v>
      </c>
      <c r="M71" t="s">
        <v>27</v>
      </c>
      <c r="N71" t="s">
        <v>49</v>
      </c>
      <c r="O71" t="s">
        <v>59</v>
      </c>
      <c r="P71" t="s">
        <v>23</v>
      </c>
      <c r="Q71">
        <v>3</v>
      </c>
    </row>
    <row r="72" spans="1:17" x14ac:dyDescent="0.25">
      <c r="A72">
        <v>71</v>
      </c>
      <c r="B72" t="s">
        <v>722</v>
      </c>
      <c r="C72" s="2">
        <v>33248</v>
      </c>
      <c r="D72">
        <v>35</v>
      </c>
      <c r="E72" t="s">
        <v>723</v>
      </c>
      <c r="F72" s="1" t="s">
        <v>178</v>
      </c>
      <c r="G72" t="s">
        <v>179</v>
      </c>
      <c r="H72" t="s">
        <v>180</v>
      </c>
      <c r="I72" s="1" t="s">
        <v>724</v>
      </c>
      <c r="J72" s="1" t="s">
        <v>725</v>
      </c>
      <c r="K72" t="s">
        <v>726</v>
      </c>
      <c r="L72" t="s">
        <v>727</v>
      </c>
      <c r="M72" t="s">
        <v>27</v>
      </c>
      <c r="N72" t="s">
        <v>34</v>
      </c>
      <c r="O72" t="s">
        <v>59</v>
      </c>
      <c r="P72" t="s">
        <v>29</v>
      </c>
      <c r="Q72">
        <v>0</v>
      </c>
    </row>
    <row r="73" spans="1:17" x14ac:dyDescent="0.25">
      <c r="A73">
        <v>72</v>
      </c>
      <c r="B73" t="s">
        <v>728</v>
      </c>
      <c r="C73" s="2">
        <v>25036</v>
      </c>
      <c r="D73">
        <v>58</v>
      </c>
      <c r="E73" t="s">
        <v>729</v>
      </c>
      <c r="F73" s="1" t="s">
        <v>165</v>
      </c>
      <c r="G73" t="s">
        <v>166</v>
      </c>
      <c r="H73" t="s">
        <v>65</v>
      </c>
      <c r="I73" s="1" t="s">
        <v>730</v>
      </c>
      <c r="J73" s="1" t="s">
        <v>731</v>
      </c>
      <c r="K73" t="s">
        <v>732</v>
      </c>
      <c r="L73" t="s">
        <v>733</v>
      </c>
      <c r="M73" t="s">
        <v>48</v>
      </c>
      <c r="N73" t="s">
        <v>78</v>
      </c>
      <c r="O73" t="s">
        <v>35</v>
      </c>
      <c r="P73" t="s">
        <v>29</v>
      </c>
      <c r="Q73">
        <v>0</v>
      </c>
    </row>
    <row r="74" spans="1:17" x14ac:dyDescent="0.25">
      <c r="A74">
        <v>73</v>
      </c>
      <c r="B74" t="s">
        <v>734</v>
      </c>
      <c r="C74" s="2">
        <v>27009</v>
      </c>
      <c r="D74">
        <v>53</v>
      </c>
      <c r="E74" t="s">
        <v>735</v>
      </c>
      <c r="F74" s="1" t="s">
        <v>51</v>
      </c>
      <c r="G74" t="s">
        <v>52</v>
      </c>
      <c r="H74" t="s">
        <v>53</v>
      </c>
      <c r="I74" s="1" t="s">
        <v>736</v>
      </c>
      <c r="J74" s="1" t="s">
        <v>737</v>
      </c>
      <c r="K74" t="s">
        <v>738</v>
      </c>
      <c r="L74" t="s">
        <v>739</v>
      </c>
      <c r="M74" t="s">
        <v>27</v>
      </c>
      <c r="N74" t="s">
        <v>49</v>
      </c>
      <c r="O74" t="s">
        <v>35</v>
      </c>
      <c r="P74" t="s">
        <v>23</v>
      </c>
      <c r="Q74">
        <v>1</v>
      </c>
    </row>
    <row r="75" spans="1:17" x14ac:dyDescent="0.25">
      <c r="A75">
        <v>74</v>
      </c>
      <c r="B75" t="s">
        <v>740</v>
      </c>
      <c r="C75" s="2">
        <v>22603</v>
      </c>
      <c r="D75">
        <v>65</v>
      </c>
      <c r="E75" t="s">
        <v>741</v>
      </c>
      <c r="F75" s="1" t="s">
        <v>69</v>
      </c>
      <c r="G75" t="s">
        <v>70</v>
      </c>
      <c r="H75" t="s">
        <v>71</v>
      </c>
      <c r="I75" s="1" t="s">
        <v>742</v>
      </c>
      <c r="J75" s="1" t="s">
        <v>743</v>
      </c>
      <c r="K75" t="s">
        <v>744</v>
      </c>
      <c r="L75" t="s">
        <v>745</v>
      </c>
      <c r="M75" t="s">
        <v>27</v>
      </c>
      <c r="N75" t="s">
        <v>150</v>
      </c>
      <c r="O75" t="s">
        <v>40</v>
      </c>
      <c r="P75" t="s">
        <v>29</v>
      </c>
      <c r="Q75">
        <v>0</v>
      </c>
    </row>
    <row r="76" spans="1:17" x14ac:dyDescent="0.25">
      <c r="A76">
        <v>75</v>
      </c>
      <c r="B76" t="s">
        <v>746</v>
      </c>
      <c r="C76" s="2">
        <v>24231</v>
      </c>
      <c r="D76">
        <v>60</v>
      </c>
      <c r="E76" t="s">
        <v>747</v>
      </c>
      <c r="F76" s="1" t="s">
        <v>250</v>
      </c>
      <c r="G76" t="s">
        <v>251</v>
      </c>
      <c r="H76" t="s">
        <v>43</v>
      </c>
      <c r="I76" s="1" t="s">
        <v>748</v>
      </c>
      <c r="J76" s="1" t="s">
        <v>749</v>
      </c>
      <c r="K76" t="s">
        <v>750</v>
      </c>
      <c r="L76" t="s">
        <v>751</v>
      </c>
      <c r="M76" t="s">
        <v>33</v>
      </c>
      <c r="N76" t="s">
        <v>39</v>
      </c>
      <c r="O76" t="s">
        <v>40</v>
      </c>
      <c r="P76" t="s">
        <v>23</v>
      </c>
      <c r="Q76">
        <v>1</v>
      </c>
    </row>
    <row r="77" spans="1:17" x14ac:dyDescent="0.25">
      <c r="A77">
        <v>76</v>
      </c>
      <c r="B77" t="s">
        <v>752</v>
      </c>
      <c r="C77" s="2">
        <v>36819</v>
      </c>
      <c r="D77">
        <v>26</v>
      </c>
      <c r="E77" t="s">
        <v>753</v>
      </c>
      <c r="F77" s="1" t="s">
        <v>131</v>
      </c>
      <c r="G77" t="s">
        <v>132</v>
      </c>
      <c r="H77" t="s">
        <v>47</v>
      </c>
      <c r="I77" s="1" t="s">
        <v>754</v>
      </c>
      <c r="J77" s="1" t="s">
        <v>755</v>
      </c>
      <c r="K77" t="s">
        <v>756</v>
      </c>
      <c r="L77" t="s">
        <v>757</v>
      </c>
      <c r="M77" t="s">
        <v>27</v>
      </c>
      <c r="N77" t="s">
        <v>150</v>
      </c>
      <c r="O77" t="s">
        <v>40</v>
      </c>
      <c r="P77" t="s">
        <v>23</v>
      </c>
      <c r="Q77">
        <v>1</v>
      </c>
    </row>
    <row r="78" spans="1:17" x14ac:dyDescent="0.25">
      <c r="A78">
        <v>77</v>
      </c>
      <c r="B78" t="s">
        <v>758</v>
      </c>
      <c r="C78" s="2">
        <v>32830</v>
      </c>
      <c r="D78">
        <v>37</v>
      </c>
      <c r="E78" t="s">
        <v>301</v>
      </c>
      <c r="F78" s="1" t="s">
        <v>208</v>
      </c>
      <c r="G78" t="s">
        <v>209</v>
      </c>
      <c r="H78" t="s">
        <v>62</v>
      </c>
      <c r="I78" s="1" t="s">
        <v>759</v>
      </c>
      <c r="J78" s="1" t="s">
        <v>760</v>
      </c>
      <c r="K78" t="s">
        <v>761</v>
      </c>
      <c r="L78" t="s">
        <v>762</v>
      </c>
      <c r="M78" t="s">
        <v>27</v>
      </c>
      <c r="N78" t="s">
        <v>67</v>
      </c>
      <c r="O78" t="s">
        <v>50</v>
      </c>
      <c r="P78" t="s">
        <v>29</v>
      </c>
      <c r="Q78">
        <v>0</v>
      </c>
    </row>
    <row r="79" spans="1:17" x14ac:dyDescent="0.25">
      <c r="A79">
        <v>78</v>
      </c>
      <c r="B79" t="s">
        <v>763</v>
      </c>
      <c r="C79" s="2">
        <v>33898</v>
      </c>
      <c r="D79">
        <v>34</v>
      </c>
      <c r="E79" t="s">
        <v>764</v>
      </c>
      <c r="F79" s="1" t="s">
        <v>286</v>
      </c>
      <c r="G79" t="s">
        <v>287</v>
      </c>
      <c r="H79" t="s">
        <v>32</v>
      </c>
      <c r="I79" s="1" t="s">
        <v>765</v>
      </c>
      <c r="J79" s="1" t="s">
        <v>766</v>
      </c>
      <c r="K79" t="s">
        <v>767</v>
      </c>
      <c r="L79" t="s">
        <v>768</v>
      </c>
      <c r="M79" t="s">
        <v>48</v>
      </c>
      <c r="N79" t="s">
        <v>99</v>
      </c>
      <c r="O79" t="s">
        <v>40</v>
      </c>
      <c r="P79" t="s">
        <v>23</v>
      </c>
      <c r="Q79">
        <v>4</v>
      </c>
    </row>
    <row r="80" spans="1:17" x14ac:dyDescent="0.25">
      <c r="A80">
        <v>79</v>
      </c>
      <c r="B80" t="s">
        <v>769</v>
      </c>
      <c r="C80" s="2">
        <v>24921</v>
      </c>
      <c r="D80">
        <v>58</v>
      </c>
      <c r="E80" t="s">
        <v>770</v>
      </c>
      <c r="F80" s="1" t="s">
        <v>196</v>
      </c>
      <c r="G80" t="s">
        <v>197</v>
      </c>
      <c r="H80" t="s">
        <v>57</v>
      </c>
      <c r="I80" s="1" t="s">
        <v>771</v>
      </c>
      <c r="J80" s="1" t="s">
        <v>772</v>
      </c>
      <c r="K80" t="s">
        <v>773</v>
      </c>
      <c r="L80" t="s">
        <v>774</v>
      </c>
      <c r="M80" t="s">
        <v>27</v>
      </c>
      <c r="N80" t="s">
        <v>106</v>
      </c>
      <c r="O80" t="s">
        <v>35</v>
      </c>
      <c r="P80" t="s">
        <v>29</v>
      </c>
      <c r="Q80">
        <v>0</v>
      </c>
    </row>
    <row r="81" spans="1:17" x14ac:dyDescent="0.25">
      <c r="A81">
        <v>80</v>
      </c>
      <c r="B81" t="s">
        <v>775</v>
      </c>
      <c r="C81" s="2">
        <v>35394</v>
      </c>
      <c r="D81">
        <v>30</v>
      </c>
      <c r="E81" t="s">
        <v>776</v>
      </c>
      <c r="F81" s="1" t="s">
        <v>85</v>
      </c>
      <c r="G81" t="s">
        <v>86</v>
      </c>
      <c r="H81" t="s">
        <v>87</v>
      </c>
      <c r="I81" s="1" t="s">
        <v>777</v>
      </c>
      <c r="J81" s="1" t="s">
        <v>778</v>
      </c>
      <c r="K81" t="s">
        <v>779</v>
      </c>
      <c r="L81" t="s">
        <v>780</v>
      </c>
      <c r="M81" t="s">
        <v>27</v>
      </c>
      <c r="N81" t="s">
        <v>78</v>
      </c>
      <c r="O81" t="s">
        <v>59</v>
      </c>
      <c r="P81" t="s">
        <v>23</v>
      </c>
      <c r="Q81">
        <v>1</v>
      </c>
    </row>
    <row r="82" spans="1:17" x14ac:dyDescent="0.25">
      <c r="A82">
        <v>81</v>
      </c>
      <c r="B82" t="s">
        <v>781</v>
      </c>
      <c r="C82" s="2">
        <v>38907</v>
      </c>
      <c r="D82">
        <v>20</v>
      </c>
      <c r="E82" t="s">
        <v>782</v>
      </c>
      <c r="F82" s="1" t="s">
        <v>196</v>
      </c>
      <c r="G82" t="s">
        <v>197</v>
      </c>
      <c r="H82" t="s">
        <v>57</v>
      </c>
      <c r="I82" s="1" t="s">
        <v>783</v>
      </c>
      <c r="J82" s="1" t="s">
        <v>784</v>
      </c>
      <c r="K82" t="s">
        <v>785</v>
      </c>
      <c r="L82" t="s">
        <v>786</v>
      </c>
      <c r="M82" t="s">
        <v>33</v>
      </c>
      <c r="N82" t="s">
        <v>44</v>
      </c>
      <c r="O82" t="s">
        <v>22</v>
      </c>
      <c r="P82" t="s">
        <v>23</v>
      </c>
      <c r="Q82">
        <v>1</v>
      </c>
    </row>
    <row r="83" spans="1:17" x14ac:dyDescent="0.25">
      <c r="A83">
        <v>82</v>
      </c>
      <c r="B83" t="s">
        <v>787</v>
      </c>
      <c r="C83" s="2">
        <v>24153</v>
      </c>
      <c r="D83">
        <v>60</v>
      </c>
      <c r="E83" t="s">
        <v>788</v>
      </c>
      <c r="F83" s="1" t="s">
        <v>174</v>
      </c>
      <c r="G83" t="s">
        <v>175</v>
      </c>
      <c r="H83" t="s">
        <v>19</v>
      </c>
      <c r="I83" s="1" t="s">
        <v>789</v>
      </c>
      <c r="J83" s="1" t="s">
        <v>790</v>
      </c>
      <c r="K83" t="s">
        <v>791</v>
      </c>
      <c r="L83" t="s">
        <v>792</v>
      </c>
      <c r="M83" t="s">
        <v>48</v>
      </c>
      <c r="N83" t="s">
        <v>21</v>
      </c>
      <c r="O83" t="s">
        <v>22</v>
      </c>
      <c r="P83" t="s">
        <v>29</v>
      </c>
      <c r="Q83">
        <v>0</v>
      </c>
    </row>
    <row r="84" spans="1:17" x14ac:dyDescent="0.25">
      <c r="A84">
        <v>83</v>
      </c>
      <c r="B84" t="s">
        <v>793</v>
      </c>
      <c r="C84" s="2">
        <v>26040</v>
      </c>
      <c r="D84">
        <v>55</v>
      </c>
      <c r="E84" t="s">
        <v>794</v>
      </c>
      <c r="F84" s="1" t="s">
        <v>204</v>
      </c>
      <c r="G84" t="s">
        <v>205</v>
      </c>
      <c r="H84" t="s">
        <v>26</v>
      </c>
      <c r="I84" s="1" t="s">
        <v>795</v>
      </c>
      <c r="J84" s="1" t="s">
        <v>796</v>
      </c>
      <c r="K84" t="s">
        <v>797</v>
      </c>
      <c r="L84" t="s">
        <v>798</v>
      </c>
      <c r="M84" t="s">
        <v>33</v>
      </c>
      <c r="N84" t="s">
        <v>72</v>
      </c>
      <c r="O84" t="s">
        <v>35</v>
      </c>
      <c r="P84" t="s">
        <v>23</v>
      </c>
      <c r="Q84">
        <v>1</v>
      </c>
    </row>
    <row r="85" spans="1:17" x14ac:dyDescent="0.25">
      <c r="A85">
        <v>84</v>
      </c>
      <c r="B85" t="s">
        <v>799</v>
      </c>
      <c r="C85" s="2">
        <v>25594</v>
      </c>
      <c r="D85">
        <v>56</v>
      </c>
      <c r="E85" t="s">
        <v>800</v>
      </c>
      <c r="F85" s="1" t="s">
        <v>100</v>
      </c>
      <c r="G85" t="s">
        <v>101</v>
      </c>
      <c r="H85" t="s">
        <v>26</v>
      </c>
      <c r="I85" s="1" t="s">
        <v>801</v>
      </c>
      <c r="J85" s="1" t="s">
        <v>802</v>
      </c>
      <c r="K85" t="s">
        <v>803</v>
      </c>
      <c r="L85" t="s">
        <v>804</v>
      </c>
      <c r="M85" t="s">
        <v>68</v>
      </c>
      <c r="N85" t="s">
        <v>82</v>
      </c>
      <c r="O85" t="s">
        <v>35</v>
      </c>
      <c r="P85" t="s">
        <v>29</v>
      </c>
      <c r="Q85">
        <v>0</v>
      </c>
    </row>
    <row r="86" spans="1:17" x14ac:dyDescent="0.25">
      <c r="A86">
        <v>85</v>
      </c>
      <c r="B86" t="s">
        <v>805</v>
      </c>
      <c r="C86" s="2">
        <v>32099</v>
      </c>
      <c r="D86">
        <v>39</v>
      </c>
      <c r="E86" t="s">
        <v>806</v>
      </c>
      <c r="F86" s="1" t="s">
        <v>127</v>
      </c>
      <c r="G86" t="s">
        <v>128</v>
      </c>
      <c r="H86" t="s">
        <v>96</v>
      </c>
      <c r="I86" s="1" t="s">
        <v>807</v>
      </c>
      <c r="J86" s="1" t="s">
        <v>808</v>
      </c>
      <c r="K86" t="s">
        <v>809</v>
      </c>
      <c r="L86" t="s">
        <v>810</v>
      </c>
      <c r="M86" t="s">
        <v>48</v>
      </c>
      <c r="N86" t="s">
        <v>66</v>
      </c>
      <c r="O86" t="s">
        <v>22</v>
      </c>
      <c r="P86" t="s">
        <v>29</v>
      </c>
      <c r="Q86">
        <v>0</v>
      </c>
    </row>
    <row r="87" spans="1:17" x14ac:dyDescent="0.25">
      <c r="A87">
        <v>86</v>
      </c>
      <c r="B87" t="s">
        <v>811</v>
      </c>
      <c r="C87" s="2">
        <v>22747</v>
      </c>
      <c r="D87">
        <v>64</v>
      </c>
      <c r="E87" t="s">
        <v>812</v>
      </c>
      <c r="F87" s="1" t="s">
        <v>94</v>
      </c>
      <c r="G87" t="s">
        <v>95</v>
      </c>
      <c r="H87" t="s">
        <v>96</v>
      </c>
      <c r="I87" s="1" t="s">
        <v>813</v>
      </c>
      <c r="J87" s="1" t="s">
        <v>814</v>
      </c>
      <c r="K87" t="s">
        <v>815</v>
      </c>
      <c r="L87" t="s">
        <v>816</v>
      </c>
      <c r="M87" t="s">
        <v>33</v>
      </c>
      <c r="N87" t="s">
        <v>67</v>
      </c>
      <c r="O87" t="s">
        <v>35</v>
      </c>
      <c r="P87" t="s">
        <v>23</v>
      </c>
      <c r="Q87">
        <v>3</v>
      </c>
    </row>
    <row r="88" spans="1:17" x14ac:dyDescent="0.25">
      <c r="A88">
        <v>87</v>
      </c>
      <c r="B88" t="s">
        <v>817</v>
      </c>
      <c r="C88" s="2">
        <v>37462</v>
      </c>
      <c r="D88">
        <v>24</v>
      </c>
      <c r="E88" t="s">
        <v>818</v>
      </c>
      <c r="F88" s="1" t="s">
        <v>272</v>
      </c>
      <c r="G88" t="s">
        <v>273</v>
      </c>
      <c r="H88" t="s">
        <v>180</v>
      </c>
      <c r="I88" s="1" t="s">
        <v>819</v>
      </c>
      <c r="J88" s="1" t="s">
        <v>820</v>
      </c>
      <c r="K88" t="s">
        <v>821</v>
      </c>
      <c r="L88" t="s">
        <v>822</v>
      </c>
      <c r="M88" t="s">
        <v>27</v>
      </c>
      <c r="N88" t="s">
        <v>34</v>
      </c>
      <c r="O88" t="s">
        <v>59</v>
      </c>
      <c r="P88" t="s">
        <v>23</v>
      </c>
      <c r="Q88">
        <v>1</v>
      </c>
    </row>
    <row r="89" spans="1:17" x14ac:dyDescent="0.25">
      <c r="A89">
        <v>88</v>
      </c>
      <c r="B89" t="s">
        <v>823</v>
      </c>
      <c r="C89" s="2">
        <v>25309</v>
      </c>
      <c r="D89">
        <v>57</v>
      </c>
      <c r="E89" t="s">
        <v>824</v>
      </c>
      <c r="F89" s="1" t="s">
        <v>117</v>
      </c>
      <c r="G89" t="s">
        <v>118</v>
      </c>
      <c r="H89" t="s">
        <v>119</v>
      </c>
      <c r="I89" s="1" t="s">
        <v>825</v>
      </c>
      <c r="J89" s="1" t="s">
        <v>826</v>
      </c>
      <c r="K89" t="s">
        <v>827</v>
      </c>
      <c r="L89" t="s">
        <v>828</v>
      </c>
      <c r="M89" t="s">
        <v>27</v>
      </c>
      <c r="N89" t="s">
        <v>39</v>
      </c>
      <c r="O89" t="s">
        <v>59</v>
      </c>
      <c r="P89" t="s">
        <v>29</v>
      </c>
      <c r="Q89">
        <v>0</v>
      </c>
    </row>
    <row r="90" spans="1:17" x14ac:dyDescent="0.25">
      <c r="A90">
        <v>89</v>
      </c>
      <c r="B90" t="s">
        <v>829</v>
      </c>
      <c r="C90" s="2">
        <v>35483</v>
      </c>
      <c r="D90">
        <v>29</v>
      </c>
      <c r="E90" t="s">
        <v>830</v>
      </c>
      <c r="F90" s="1" t="s">
        <v>286</v>
      </c>
      <c r="G90" t="s">
        <v>287</v>
      </c>
      <c r="H90" t="s">
        <v>32</v>
      </c>
      <c r="I90" s="1" t="s">
        <v>831</v>
      </c>
      <c r="J90" s="1" t="s">
        <v>832</v>
      </c>
      <c r="K90" t="s">
        <v>833</v>
      </c>
      <c r="L90" t="s">
        <v>834</v>
      </c>
      <c r="M90" t="s">
        <v>27</v>
      </c>
      <c r="N90" t="s">
        <v>88</v>
      </c>
      <c r="O90" t="s">
        <v>40</v>
      </c>
      <c r="P90" t="s">
        <v>23</v>
      </c>
      <c r="Q90">
        <v>1</v>
      </c>
    </row>
    <row r="91" spans="1:17" x14ac:dyDescent="0.25">
      <c r="A91">
        <v>90</v>
      </c>
      <c r="B91" t="s">
        <v>835</v>
      </c>
      <c r="C91" s="2">
        <v>33087</v>
      </c>
      <c r="D91">
        <v>36</v>
      </c>
      <c r="E91" t="s">
        <v>836</v>
      </c>
      <c r="F91" s="1" t="s">
        <v>247</v>
      </c>
      <c r="G91" t="s">
        <v>248</v>
      </c>
      <c r="H91" t="s">
        <v>249</v>
      </c>
      <c r="I91" s="1" t="s">
        <v>837</v>
      </c>
      <c r="J91" s="1" t="s">
        <v>838</v>
      </c>
      <c r="K91" t="s">
        <v>839</v>
      </c>
      <c r="L91" t="s">
        <v>840</v>
      </c>
      <c r="M91" t="s">
        <v>27</v>
      </c>
      <c r="N91" t="s">
        <v>49</v>
      </c>
      <c r="O91" t="s">
        <v>35</v>
      </c>
      <c r="P91" t="s">
        <v>23</v>
      </c>
      <c r="Q91">
        <v>2</v>
      </c>
    </row>
    <row r="92" spans="1:17" x14ac:dyDescent="0.25">
      <c r="A92">
        <v>91</v>
      </c>
      <c r="B92" t="s">
        <v>841</v>
      </c>
      <c r="C92" s="2">
        <v>35208</v>
      </c>
      <c r="D92">
        <v>30</v>
      </c>
      <c r="E92" t="s">
        <v>842</v>
      </c>
      <c r="F92" s="1" t="s">
        <v>153</v>
      </c>
      <c r="G92" t="s">
        <v>154</v>
      </c>
      <c r="H92" t="s">
        <v>104</v>
      </c>
      <c r="I92" s="1" t="s">
        <v>843</v>
      </c>
      <c r="J92" s="1" t="s">
        <v>844</v>
      </c>
      <c r="K92" t="s">
        <v>845</v>
      </c>
      <c r="L92" t="s">
        <v>846</v>
      </c>
      <c r="M92" t="s">
        <v>27</v>
      </c>
      <c r="N92" t="s">
        <v>193</v>
      </c>
      <c r="O92" t="s">
        <v>22</v>
      </c>
      <c r="P92" t="s">
        <v>23</v>
      </c>
      <c r="Q92">
        <v>2</v>
      </c>
    </row>
    <row r="93" spans="1:17" x14ac:dyDescent="0.25">
      <c r="A93">
        <v>92</v>
      </c>
      <c r="B93" t="s">
        <v>847</v>
      </c>
      <c r="C93" s="2">
        <v>33649</v>
      </c>
      <c r="D93">
        <v>34</v>
      </c>
      <c r="E93" t="s">
        <v>848</v>
      </c>
      <c r="F93" s="1" t="s">
        <v>102</v>
      </c>
      <c r="G93" t="s">
        <v>103</v>
      </c>
      <c r="H93" t="s">
        <v>104</v>
      </c>
      <c r="I93" s="1" t="s">
        <v>849</v>
      </c>
      <c r="J93" s="1" t="s">
        <v>850</v>
      </c>
      <c r="K93" t="s">
        <v>851</v>
      </c>
      <c r="L93" t="s">
        <v>852</v>
      </c>
      <c r="M93" t="s">
        <v>33</v>
      </c>
      <c r="N93" t="s">
        <v>212</v>
      </c>
      <c r="O93" t="s">
        <v>50</v>
      </c>
      <c r="P93" t="s">
        <v>29</v>
      </c>
      <c r="Q93">
        <v>0</v>
      </c>
    </row>
    <row r="94" spans="1:17" x14ac:dyDescent="0.25">
      <c r="A94">
        <v>93</v>
      </c>
      <c r="B94" t="s">
        <v>853</v>
      </c>
      <c r="C94" s="2">
        <v>24808</v>
      </c>
      <c r="D94">
        <v>59</v>
      </c>
      <c r="E94" t="s">
        <v>854</v>
      </c>
      <c r="F94" s="1" t="s">
        <v>292</v>
      </c>
      <c r="G94" t="s">
        <v>293</v>
      </c>
      <c r="H94" t="s">
        <v>26</v>
      </c>
      <c r="I94" s="1" t="s">
        <v>855</v>
      </c>
      <c r="J94" s="1" t="s">
        <v>856</v>
      </c>
      <c r="K94" t="s">
        <v>857</v>
      </c>
      <c r="L94" t="s">
        <v>858</v>
      </c>
      <c r="M94" t="s">
        <v>27</v>
      </c>
      <c r="N94" t="s">
        <v>72</v>
      </c>
      <c r="O94" t="s">
        <v>50</v>
      </c>
      <c r="P94" t="s">
        <v>29</v>
      </c>
      <c r="Q94">
        <v>0</v>
      </c>
    </row>
    <row r="95" spans="1:17" x14ac:dyDescent="0.25">
      <c r="A95">
        <v>94</v>
      </c>
      <c r="B95" t="s">
        <v>859</v>
      </c>
      <c r="C95" s="2">
        <v>22947</v>
      </c>
      <c r="D95">
        <v>64</v>
      </c>
      <c r="E95" t="s">
        <v>860</v>
      </c>
      <c r="F95" s="1" t="s">
        <v>79</v>
      </c>
      <c r="G95" t="s">
        <v>80</v>
      </c>
      <c r="H95" t="s">
        <v>81</v>
      </c>
      <c r="I95" s="1" t="s">
        <v>861</v>
      </c>
      <c r="J95" s="1" t="s">
        <v>862</v>
      </c>
      <c r="K95" t="s">
        <v>863</v>
      </c>
      <c r="L95" t="s">
        <v>864</v>
      </c>
      <c r="M95" t="s">
        <v>33</v>
      </c>
      <c r="N95" t="s">
        <v>21</v>
      </c>
      <c r="O95" t="s">
        <v>35</v>
      </c>
      <c r="P95" t="s">
        <v>29</v>
      </c>
      <c r="Q95">
        <v>0</v>
      </c>
    </row>
    <row r="96" spans="1:17" x14ac:dyDescent="0.25">
      <c r="A96">
        <v>95</v>
      </c>
      <c r="B96" t="s">
        <v>865</v>
      </c>
      <c r="C96" s="2">
        <v>32690</v>
      </c>
      <c r="D96">
        <v>37</v>
      </c>
      <c r="E96" t="s">
        <v>866</v>
      </c>
      <c r="F96" s="1" t="s">
        <v>247</v>
      </c>
      <c r="G96" t="s">
        <v>248</v>
      </c>
      <c r="H96" t="s">
        <v>249</v>
      </c>
      <c r="I96" s="1" t="s">
        <v>867</v>
      </c>
      <c r="J96" s="1" t="s">
        <v>868</v>
      </c>
      <c r="K96" t="s">
        <v>869</v>
      </c>
      <c r="L96" t="s">
        <v>870</v>
      </c>
      <c r="M96" t="s">
        <v>27</v>
      </c>
      <c r="N96" t="s">
        <v>49</v>
      </c>
      <c r="O96" t="s">
        <v>22</v>
      </c>
      <c r="P96" t="s">
        <v>29</v>
      </c>
      <c r="Q96">
        <v>0</v>
      </c>
    </row>
    <row r="97" spans="1:17" x14ac:dyDescent="0.25">
      <c r="A97">
        <v>96</v>
      </c>
      <c r="B97" t="s">
        <v>871</v>
      </c>
      <c r="C97" s="2">
        <v>29374</v>
      </c>
      <c r="D97">
        <v>46</v>
      </c>
      <c r="E97" t="s">
        <v>872</v>
      </c>
      <c r="F97" s="1" t="s">
        <v>127</v>
      </c>
      <c r="G97" t="s">
        <v>128</v>
      </c>
      <c r="H97" t="s">
        <v>96</v>
      </c>
      <c r="I97" s="1" t="s">
        <v>873</v>
      </c>
      <c r="J97" s="1" t="s">
        <v>874</v>
      </c>
      <c r="K97" t="s">
        <v>875</v>
      </c>
      <c r="L97" t="s">
        <v>876</v>
      </c>
      <c r="M97" t="s">
        <v>33</v>
      </c>
      <c r="N97" t="s">
        <v>150</v>
      </c>
      <c r="O97" t="s">
        <v>59</v>
      </c>
      <c r="P97" t="s">
        <v>23</v>
      </c>
      <c r="Q97">
        <v>7</v>
      </c>
    </row>
    <row r="98" spans="1:17" x14ac:dyDescent="0.25">
      <c r="A98">
        <v>97</v>
      </c>
      <c r="B98" t="s">
        <v>877</v>
      </c>
      <c r="C98" s="2">
        <v>34498</v>
      </c>
      <c r="D98">
        <v>32</v>
      </c>
      <c r="E98" t="s">
        <v>878</v>
      </c>
      <c r="F98" s="1" t="s">
        <v>129</v>
      </c>
      <c r="G98" t="s">
        <v>130</v>
      </c>
      <c r="H98" t="s">
        <v>77</v>
      </c>
      <c r="I98" s="1" t="s">
        <v>879</v>
      </c>
      <c r="J98" s="1" t="s">
        <v>880</v>
      </c>
      <c r="K98" t="s">
        <v>881</v>
      </c>
      <c r="L98" t="s">
        <v>882</v>
      </c>
      <c r="M98" t="s">
        <v>27</v>
      </c>
      <c r="N98" t="s">
        <v>193</v>
      </c>
      <c r="O98" t="s">
        <v>50</v>
      </c>
      <c r="P98" t="s">
        <v>23</v>
      </c>
      <c r="Q98">
        <v>3</v>
      </c>
    </row>
    <row r="99" spans="1:17" x14ac:dyDescent="0.25">
      <c r="A99">
        <v>98</v>
      </c>
      <c r="B99" t="s">
        <v>883</v>
      </c>
      <c r="C99" s="2">
        <v>34432</v>
      </c>
      <c r="D99">
        <v>32</v>
      </c>
      <c r="E99" t="s">
        <v>884</v>
      </c>
      <c r="F99" s="1" t="s">
        <v>146</v>
      </c>
      <c r="G99" t="s">
        <v>147</v>
      </c>
      <c r="H99" t="s">
        <v>47</v>
      </c>
      <c r="I99" s="1" t="s">
        <v>885</v>
      </c>
      <c r="J99" s="1" t="s">
        <v>886</v>
      </c>
      <c r="K99" t="s">
        <v>887</v>
      </c>
      <c r="L99" t="s">
        <v>888</v>
      </c>
      <c r="M99" t="s">
        <v>48</v>
      </c>
      <c r="N99" t="s">
        <v>21</v>
      </c>
      <c r="O99" t="s">
        <v>50</v>
      </c>
      <c r="P99" t="s">
        <v>23</v>
      </c>
      <c r="Q99">
        <v>1</v>
      </c>
    </row>
    <row r="100" spans="1:17" x14ac:dyDescent="0.25">
      <c r="A100">
        <v>99</v>
      </c>
      <c r="B100" t="s">
        <v>889</v>
      </c>
      <c r="C100" s="2">
        <v>25187</v>
      </c>
      <c r="D100">
        <v>58</v>
      </c>
      <c r="E100" t="s">
        <v>890</v>
      </c>
      <c r="F100" s="1" t="s">
        <v>237</v>
      </c>
      <c r="G100" t="s">
        <v>238</v>
      </c>
      <c r="H100" t="s">
        <v>19</v>
      </c>
      <c r="I100" s="1" t="s">
        <v>891</v>
      </c>
      <c r="J100" s="1" t="s">
        <v>892</v>
      </c>
      <c r="K100" t="s">
        <v>893</v>
      </c>
      <c r="L100" t="s">
        <v>894</v>
      </c>
      <c r="M100" t="s">
        <v>48</v>
      </c>
      <c r="N100" t="s">
        <v>54</v>
      </c>
      <c r="O100" t="s">
        <v>50</v>
      </c>
      <c r="P100" t="s">
        <v>23</v>
      </c>
      <c r="Q100">
        <v>2</v>
      </c>
    </row>
    <row r="101" spans="1:17" x14ac:dyDescent="0.25">
      <c r="A101">
        <v>100</v>
      </c>
      <c r="B101" t="s">
        <v>895</v>
      </c>
      <c r="C101" s="2">
        <v>37332</v>
      </c>
      <c r="D101">
        <v>24</v>
      </c>
      <c r="E101" t="s">
        <v>896</v>
      </c>
      <c r="F101" s="1" t="s">
        <v>83</v>
      </c>
      <c r="G101" t="s">
        <v>84</v>
      </c>
      <c r="H101" t="s">
        <v>26</v>
      </c>
      <c r="I101" s="1" t="s">
        <v>897</v>
      </c>
      <c r="J101" s="1" t="s">
        <v>898</v>
      </c>
      <c r="K101" t="s">
        <v>899</v>
      </c>
      <c r="L101" t="s">
        <v>900</v>
      </c>
      <c r="M101" t="s">
        <v>33</v>
      </c>
      <c r="N101" t="s">
        <v>99</v>
      </c>
      <c r="O101" t="s">
        <v>22</v>
      </c>
      <c r="P101" t="s">
        <v>23</v>
      </c>
      <c r="Q101">
        <v>1</v>
      </c>
    </row>
    <row r="102" spans="1:17" x14ac:dyDescent="0.25">
      <c r="A102">
        <v>101</v>
      </c>
      <c r="B102" t="s">
        <v>901</v>
      </c>
      <c r="C102" s="2">
        <v>39363</v>
      </c>
      <c r="D102">
        <v>19</v>
      </c>
      <c r="E102" t="s">
        <v>902</v>
      </c>
      <c r="F102" s="1" t="s">
        <v>165</v>
      </c>
      <c r="G102" t="s">
        <v>166</v>
      </c>
      <c r="H102" t="s">
        <v>65</v>
      </c>
      <c r="I102" s="1" t="s">
        <v>903</v>
      </c>
      <c r="J102" s="1" t="s">
        <v>904</v>
      </c>
      <c r="K102" t="s">
        <v>905</v>
      </c>
      <c r="L102" t="s">
        <v>906</v>
      </c>
      <c r="M102" t="s">
        <v>27</v>
      </c>
      <c r="N102" t="s">
        <v>66</v>
      </c>
      <c r="O102" t="s">
        <v>40</v>
      </c>
      <c r="P102" t="s">
        <v>23</v>
      </c>
      <c r="Q102">
        <v>3</v>
      </c>
    </row>
    <row r="103" spans="1:17" x14ac:dyDescent="0.25">
      <c r="A103">
        <v>102</v>
      </c>
      <c r="B103" t="s">
        <v>907</v>
      </c>
      <c r="C103" s="2">
        <v>31100</v>
      </c>
      <c r="D103">
        <v>41</v>
      </c>
      <c r="E103" t="s">
        <v>908</v>
      </c>
      <c r="F103" s="1" t="s">
        <v>102</v>
      </c>
      <c r="G103" t="s">
        <v>103</v>
      </c>
      <c r="H103" t="s">
        <v>104</v>
      </c>
      <c r="I103" s="1" t="s">
        <v>909</v>
      </c>
      <c r="J103" s="1" t="s">
        <v>910</v>
      </c>
      <c r="K103" t="s">
        <v>911</v>
      </c>
      <c r="L103" t="s">
        <v>912</v>
      </c>
      <c r="M103" t="s">
        <v>27</v>
      </c>
      <c r="N103" t="s">
        <v>114</v>
      </c>
      <c r="O103" t="s">
        <v>59</v>
      </c>
      <c r="P103" t="s">
        <v>29</v>
      </c>
      <c r="Q103">
        <v>0</v>
      </c>
    </row>
    <row r="104" spans="1:17" x14ac:dyDescent="0.25">
      <c r="A104">
        <v>103</v>
      </c>
      <c r="B104" t="s">
        <v>913</v>
      </c>
      <c r="C104" s="2">
        <v>26999</v>
      </c>
      <c r="D104">
        <v>53</v>
      </c>
      <c r="E104" t="s">
        <v>914</v>
      </c>
      <c r="F104" s="1" t="s">
        <v>230</v>
      </c>
      <c r="G104" t="s">
        <v>231</v>
      </c>
      <c r="H104" t="s">
        <v>62</v>
      </c>
      <c r="I104" s="1" t="s">
        <v>915</v>
      </c>
      <c r="J104" s="1" t="s">
        <v>916</v>
      </c>
      <c r="K104" t="s">
        <v>917</v>
      </c>
      <c r="L104" t="s">
        <v>918</v>
      </c>
      <c r="M104" t="s">
        <v>27</v>
      </c>
      <c r="N104" t="s">
        <v>78</v>
      </c>
      <c r="O104" t="s">
        <v>50</v>
      </c>
      <c r="P104" t="s">
        <v>29</v>
      </c>
      <c r="Q104">
        <v>0</v>
      </c>
    </row>
    <row r="105" spans="1:17" x14ac:dyDescent="0.25">
      <c r="A105">
        <v>104</v>
      </c>
      <c r="B105" t="s">
        <v>919</v>
      </c>
      <c r="C105" s="2">
        <v>29373</v>
      </c>
      <c r="D105">
        <v>46</v>
      </c>
      <c r="E105" t="s">
        <v>920</v>
      </c>
      <c r="F105" s="1" t="s">
        <v>208</v>
      </c>
      <c r="G105" t="s">
        <v>209</v>
      </c>
      <c r="H105" t="s">
        <v>62</v>
      </c>
      <c r="I105" s="1" t="s">
        <v>921</v>
      </c>
      <c r="J105" s="1" t="s">
        <v>922</v>
      </c>
      <c r="K105" t="s">
        <v>923</v>
      </c>
      <c r="L105" t="s">
        <v>924</v>
      </c>
      <c r="M105" t="s">
        <v>27</v>
      </c>
      <c r="N105" t="s">
        <v>39</v>
      </c>
      <c r="O105" t="s">
        <v>22</v>
      </c>
      <c r="P105" t="s">
        <v>23</v>
      </c>
      <c r="Q105">
        <v>2</v>
      </c>
    </row>
    <row r="106" spans="1:17" x14ac:dyDescent="0.25">
      <c r="A106">
        <v>105</v>
      </c>
      <c r="B106" t="s">
        <v>925</v>
      </c>
      <c r="C106" s="2">
        <v>27529</v>
      </c>
      <c r="D106">
        <v>51</v>
      </c>
      <c r="E106" t="s">
        <v>926</v>
      </c>
      <c r="F106" s="1" t="s">
        <v>260</v>
      </c>
      <c r="G106" t="s">
        <v>261</v>
      </c>
      <c r="H106" t="s">
        <v>47</v>
      </c>
      <c r="I106" s="1" t="s">
        <v>927</v>
      </c>
      <c r="J106" s="1" t="s">
        <v>928</v>
      </c>
      <c r="K106" t="s">
        <v>929</v>
      </c>
      <c r="L106" t="s">
        <v>930</v>
      </c>
      <c r="M106" t="s">
        <v>27</v>
      </c>
      <c r="N106" t="s">
        <v>114</v>
      </c>
      <c r="O106" t="s">
        <v>35</v>
      </c>
      <c r="P106" t="s">
        <v>29</v>
      </c>
      <c r="Q106">
        <v>0</v>
      </c>
    </row>
    <row r="107" spans="1:17" x14ac:dyDescent="0.25">
      <c r="A107">
        <v>106</v>
      </c>
      <c r="B107" t="s">
        <v>931</v>
      </c>
      <c r="C107" s="2">
        <v>35504</v>
      </c>
      <c r="D107">
        <v>29</v>
      </c>
      <c r="E107" t="s">
        <v>932</v>
      </c>
      <c r="F107" s="1" t="s">
        <v>234</v>
      </c>
      <c r="G107" t="s">
        <v>235</v>
      </c>
      <c r="H107" t="s">
        <v>236</v>
      </c>
      <c r="I107" s="1" t="s">
        <v>933</v>
      </c>
      <c r="J107" s="1" t="s">
        <v>934</v>
      </c>
      <c r="K107" t="s">
        <v>935</v>
      </c>
      <c r="L107" t="s">
        <v>936</v>
      </c>
      <c r="M107" t="s">
        <v>27</v>
      </c>
      <c r="N107" t="s">
        <v>67</v>
      </c>
      <c r="O107" t="s">
        <v>50</v>
      </c>
      <c r="P107" t="s">
        <v>29</v>
      </c>
      <c r="Q107">
        <v>0</v>
      </c>
    </row>
    <row r="108" spans="1:17" x14ac:dyDescent="0.25">
      <c r="A108">
        <v>107</v>
      </c>
      <c r="B108" t="s">
        <v>937</v>
      </c>
      <c r="C108" s="2">
        <v>34589</v>
      </c>
      <c r="D108">
        <v>32</v>
      </c>
      <c r="E108" t="s">
        <v>938</v>
      </c>
      <c r="F108" s="1" t="s">
        <v>226</v>
      </c>
      <c r="G108" t="s">
        <v>227</v>
      </c>
      <c r="H108" t="s">
        <v>113</v>
      </c>
      <c r="I108" s="1" t="s">
        <v>939</v>
      </c>
      <c r="J108" s="1" t="s">
        <v>940</v>
      </c>
      <c r="K108" t="s">
        <v>941</v>
      </c>
      <c r="L108" t="s">
        <v>942</v>
      </c>
      <c r="M108" t="s">
        <v>27</v>
      </c>
      <c r="N108" t="s">
        <v>78</v>
      </c>
      <c r="O108" t="s">
        <v>22</v>
      </c>
      <c r="P108" t="s">
        <v>23</v>
      </c>
      <c r="Q108">
        <v>1</v>
      </c>
    </row>
    <row r="109" spans="1:17" x14ac:dyDescent="0.25">
      <c r="A109">
        <v>108</v>
      </c>
      <c r="B109" t="s">
        <v>943</v>
      </c>
      <c r="C109" s="2">
        <v>29141</v>
      </c>
      <c r="D109">
        <v>47</v>
      </c>
      <c r="E109" t="s">
        <v>944</v>
      </c>
      <c r="F109" s="1" t="s">
        <v>189</v>
      </c>
      <c r="G109" t="s">
        <v>190</v>
      </c>
      <c r="H109" t="s">
        <v>91</v>
      </c>
      <c r="I109" s="1" t="s">
        <v>945</v>
      </c>
      <c r="J109" s="1" t="s">
        <v>946</v>
      </c>
      <c r="K109" t="s">
        <v>947</v>
      </c>
      <c r="L109" t="s">
        <v>948</v>
      </c>
      <c r="M109" t="s">
        <v>48</v>
      </c>
      <c r="N109" t="s">
        <v>82</v>
      </c>
      <c r="O109" t="s">
        <v>35</v>
      </c>
      <c r="P109" t="s">
        <v>29</v>
      </c>
      <c r="Q109">
        <v>0</v>
      </c>
    </row>
    <row r="110" spans="1:17" x14ac:dyDescent="0.25">
      <c r="A110">
        <v>109</v>
      </c>
      <c r="B110" t="s">
        <v>949</v>
      </c>
      <c r="C110" s="2">
        <v>31778</v>
      </c>
      <c r="D110">
        <v>39</v>
      </c>
      <c r="E110" t="s">
        <v>950</v>
      </c>
      <c r="F110" s="1" t="s">
        <v>208</v>
      </c>
      <c r="G110" t="s">
        <v>209</v>
      </c>
      <c r="H110" t="s">
        <v>62</v>
      </c>
      <c r="I110" s="1" t="s">
        <v>951</v>
      </c>
      <c r="J110" s="1" t="s">
        <v>952</v>
      </c>
      <c r="K110" t="s">
        <v>953</v>
      </c>
      <c r="L110" t="s">
        <v>954</v>
      </c>
      <c r="M110" t="s">
        <v>33</v>
      </c>
      <c r="N110" t="s">
        <v>28</v>
      </c>
      <c r="O110" t="s">
        <v>22</v>
      </c>
      <c r="P110" t="s">
        <v>29</v>
      </c>
      <c r="Q110">
        <v>0</v>
      </c>
    </row>
    <row r="111" spans="1:17" x14ac:dyDescent="0.25">
      <c r="A111">
        <v>110</v>
      </c>
      <c r="B111" t="s">
        <v>955</v>
      </c>
      <c r="C111" s="2">
        <v>22853</v>
      </c>
      <c r="D111">
        <v>64</v>
      </c>
      <c r="E111" t="s">
        <v>956</v>
      </c>
      <c r="F111" s="1" t="s">
        <v>63</v>
      </c>
      <c r="G111" t="s">
        <v>64</v>
      </c>
      <c r="H111" t="s">
        <v>65</v>
      </c>
      <c r="I111" s="1" t="s">
        <v>957</v>
      </c>
      <c r="J111" s="1" t="s">
        <v>958</v>
      </c>
      <c r="K111" t="s">
        <v>959</v>
      </c>
      <c r="L111" t="s">
        <v>960</v>
      </c>
      <c r="M111" t="s">
        <v>33</v>
      </c>
      <c r="N111" t="s">
        <v>82</v>
      </c>
      <c r="O111" t="s">
        <v>35</v>
      </c>
      <c r="P111" t="s">
        <v>29</v>
      </c>
      <c r="Q111">
        <v>0</v>
      </c>
    </row>
    <row r="112" spans="1:17" x14ac:dyDescent="0.25">
      <c r="A112">
        <v>111</v>
      </c>
      <c r="B112" t="s">
        <v>961</v>
      </c>
      <c r="C112" s="2">
        <v>34706</v>
      </c>
      <c r="D112">
        <v>31</v>
      </c>
      <c r="E112" t="s">
        <v>962</v>
      </c>
      <c r="F112" s="1" t="s">
        <v>30</v>
      </c>
      <c r="G112" t="s">
        <v>31</v>
      </c>
      <c r="H112" t="s">
        <v>32</v>
      </c>
      <c r="I112" s="1" t="s">
        <v>963</v>
      </c>
      <c r="J112" s="1" t="s">
        <v>964</v>
      </c>
      <c r="K112" t="s">
        <v>965</v>
      </c>
      <c r="L112" t="s">
        <v>966</v>
      </c>
      <c r="M112" t="s">
        <v>68</v>
      </c>
      <c r="N112" t="s">
        <v>99</v>
      </c>
      <c r="O112" t="s">
        <v>40</v>
      </c>
      <c r="P112" t="s">
        <v>23</v>
      </c>
      <c r="Q112">
        <v>1</v>
      </c>
    </row>
    <row r="113" spans="1:17" x14ac:dyDescent="0.25">
      <c r="A113">
        <v>112</v>
      </c>
      <c r="B113" t="s">
        <v>967</v>
      </c>
      <c r="C113" s="2">
        <v>28914</v>
      </c>
      <c r="D113">
        <v>47</v>
      </c>
      <c r="E113" t="s">
        <v>968</v>
      </c>
      <c r="F113" s="1" t="s">
        <v>63</v>
      </c>
      <c r="G113" t="s">
        <v>64</v>
      </c>
      <c r="H113" t="s">
        <v>65</v>
      </c>
      <c r="I113" s="1" t="s">
        <v>969</v>
      </c>
      <c r="J113" s="1" t="s">
        <v>970</v>
      </c>
      <c r="K113" t="s">
        <v>971</v>
      </c>
      <c r="L113" t="s">
        <v>972</v>
      </c>
      <c r="M113" t="s">
        <v>33</v>
      </c>
      <c r="N113" t="s">
        <v>49</v>
      </c>
      <c r="O113" t="s">
        <v>59</v>
      </c>
      <c r="P113" t="s">
        <v>23</v>
      </c>
      <c r="Q113">
        <v>1</v>
      </c>
    </row>
    <row r="114" spans="1:17" x14ac:dyDescent="0.25">
      <c r="A114">
        <v>113</v>
      </c>
      <c r="B114" t="s">
        <v>973</v>
      </c>
      <c r="C114" s="2">
        <v>37090</v>
      </c>
      <c r="D114">
        <v>25</v>
      </c>
      <c r="E114" t="s">
        <v>974</v>
      </c>
      <c r="F114" s="1" t="s">
        <v>167</v>
      </c>
      <c r="G114" t="s">
        <v>168</v>
      </c>
      <c r="H114" t="s">
        <v>169</v>
      </c>
      <c r="I114" s="1" t="s">
        <v>975</v>
      </c>
      <c r="J114" s="1" t="s">
        <v>976</v>
      </c>
      <c r="K114" t="s">
        <v>977</v>
      </c>
      <c r="L114" t="s">
        <v>978</v>
      </c>
      <c r="M114" t="s">
        <v>27</v>
      </c>
      <c r="N114" t="s">
        <v>212</v>
      </c>
      <c r="O114" t="s">
        <v>22</v>
      </c>
      <c r="P114" t="s">
        <v>23</v>
      </c>
      <c r="Q114">
        <v>1</v>
      </c>
    </row>
    <row r="115" spans="1:17" x14ac:dyDescent="0.25">
      <c r="A115">
        <v>114</v>
      </c>
      <c r="B115" t="s">
        <v>979</v>
      </c>
      <c r="C115" s="2">
        <v>36669</v>
      </c>
      <c r="D115">
        <v>26</v>
      </c>
      <c r="E115" t="s">
        <v>980</v>
      </c>
      <c r="F115" s="1" t="s">
        <v>131</v>
      </c>
      <c r="G115" t="s">
        <v>132</v>
      </c>
      <c r="H115" t="s">
        <v>47</v>
      </c>
      <c r="I115" s="1" t="s">
        <v>981</v>
      </c>
      <c r="J115" s="1" t="s">
        <v>982</v>
      </c>
      <c r="K115" t="s">
        <v>983</v>
      </c>
      <c r="L115" t="s">
        <v>984</v>
      </c>
      <c r="M115" t="s">
        <v>33</v>
      </c>
      <c r="N115" t="s">
        <v>58</v>
      </c>
      <c r="O115" t="s">
        <v>35</v>
      </c>
      <c r="P115" t="s">
        <v>29</v>
      </c>
      <c r="Q115">
        <v>0</v>
      </c>
    </row>
    <row r="116" spans="1:17" x14ac:dyDescent="0.25">
      <c r="A116">
        <v>115</v>
      </c>
      <c r="B116" t="s">
        <v>985</v>
      </c>
      <c r="C116" s="2">
        <v>38936</v>
      </c>
      <c r="D116">
        <v>20</v>
      </c>
      <c r="E116" t="s">
        <v>986</v>
      </c>
      <c r="F116" s="1" t="s">
        <v>75</v>
      </c>
      <c r="G116" t="s">
        <v>76</v>
      </c>
      <c r="H116" t="s">
        <v>77</v>
      </c>
      <c r="I116" s="1" t="s">
        <v>987</v>
      </c>
      <c r="J116" s="1" t="s">
        <v>988</v>
      </c>
      <c r="K116" t="s">
        <v>989</v>
      </c>
      <c r="L116" t="s">
        <v>990</v>
      </c>
      <c r="M116" t="s">
        <v>27</v>
      </c>
      <c r="N116" t="s">
        <v>54</v>
      </c>
      <c r="O116" t="s">
        <v>40</v>
      </c>
      <c r="P116" t="s">
        <v>29</v>
      </c>
      <c r="Q116">
        <v>0</v>
      </c>
    </row>
    <row r="117" spans="1:17" x14ac:dyDescent="0.25">
      <c r="A117">
        <v>116</v>
      </c>
      <c r="B117" t="s">
        <v>991</v>
      </c>
      <c r="C117" s="2">
        <v>32955</v>
      </c>
      <c r="D117">
        <v>36</v>
      </c>
      <c r="E117" t="s">
        <v>992</v>
      </c>
      <c r="F117" s="1" t="s">
        <v>94</v>
      </c>
      <c r="G117" t="s">
        <v>95</v>
      </c>
      <c r="H117" t="s">
        <v>96</v>
      </c>
      <c r="I117" s="1" t="s">
        <v>993</v>
      </c>
      <c r="J117" s="1" t="s">
        <v>994</v>
      </c>
      <c r="K117" t="s">
        <v>995</v>
      </c>
      <c r="L117" t="s">
        <v>996</v>
      </c>
      <c r="M117" t="s">
        <v>27</v>
      </c>
      <c r="N117" t="s">
        <v>106</v>
      </c>
      <c r="O117" t="s">
        <v>50</v>
      </c>
      <c r="P117" t="s">
        <v>23</v>
      </c>
      <c r="Q117">
        <v>6</v>
      </c>
    </row>
    <row r="118" spans="1:17" x14ac:dyDescent="0.25">
      <c r="A118">
        <v>117</v>
      </c>
      <c r="B118" t="s">
        <v>997</v>
      </c>
      <c r="C118" s="2">
        <v>28266</v>
      </c>
      <c r="D118">
        <v>49</v>
      </c>
      <c r="E118" t="s">
        <v>998</v>
      </c>
      <c r="F118" s="1" t="s">
        <v>55</v>
      </c>
      <c r="G118" t="s">
        <v>56</v>
      </c>
      <c r="H118" t="s">
        <v>57</v>
      </c>
      <c r="I118" s="1" t="s">
        <v>999</v>
      </c>
      <c r="J118" s="1" t="s">
        <v>1000</v>
      </c>
      <c r="K118" t="s">
        <v>1001</v>
      </c>
      <c r="L118" t="s">
        <v>1002</v>
      </c>
      <c r="M118" t="s">
        <v>27</v>
      </c>
      <c r="N118" t="s">
        <v>72</v>
      </c>
      <c r="O118" t="s">
        <v>40</v>
      </c>
      <c r="P118" t="s">
        <v>29</v>
      </c>
      <c r="Q118">
        <v>0</v>
      </c>
    </row>
    <row r="119" spans="1:17" x14ac:dyDescent="0.25">
      <c r="A119">
        <v>118</v>
      </c>
      <c r="B119" t="s">
        <v>1003</v>
      </c>
      <c r="C119" s="2">
        <v>28073</v>
      </c>
      <c r="D119">
        <v>50</v>
      </c>
      <c r="E119" t="s">
        <v>1004</v>
      </c>
      <c r="F119" s="1" t="s">
        <v>219</v>
      </c>
      <c r="G119" t="s">
        <v>220</v>
      </c>
      <c r="H119" t="s">
        <v>71</v>
      </c>
      <c r="I119" s="1" t="s">
        <v>1005</v>
      </c>
      <c r="J119" s="1" t="s">
        <v>1006</v>
      </c>
      <c r="K119" t="s">
        <v>1007</v>
      </c>
      <c r="L119" t="s">
        <v>1008</v>
      </c>
      <c r="M119" t="s">
        <v>48</v>
      </c>
      <c r="N119" t="s">
        <v>72</v>
      </c>
      <c r="O119" t="s">
        <v>59</v>
      </c>
      <c r="P119" t="s">
        <v>29</v>
      </c>
      <c r="Q119">
        <v>0</v>
      </c>
    </row>
    <row r="120" spans="1:17" x14ac:dyDescent="0.25">
      <c r="A120">
        <v>119</v>
      </c>
      <c r="B120" t="s">
        <v>1009</v>
      </c>
      <c r="C120" s="2">
        <v>29037</v>
      </c>
      <c r="D120">
        <v>47</v>
      </c>
      <c r="E120" t="s">
        <v>1010</v>
      </c>
      <c r="F120" s="1" t="s">
        <v>167</v>
      </c>
      <c r="G120" t="s">
        <v>168</v>
      </c>
      <c r="H120" t="s">
        <v>169</v>
      </c>
      <c r="I120" s="1" t="s">
        <v>1011</v>
      </c>
      <c r="J120" s="1" t="s">
        <v>1012</v>
      </c>
      <c r="K120" t="s">
        <v>1013</v>
      </c>
      <c r="L120" t="s">
        <v>1014</v>
      </c>
      <c r="M120" t="s">
        <v>27</v>
      </c>
      <c r="N120" t="s">
        <v>72</v>
      </c>
      <c r="O120" t="s">
        <v>35</v>
      </c>
      <c r="P120" t="s">
        <v>23</v>
      </c>
      <c r="Q120">
        <v>2</v>
      </c>
    </row>
    <row r="121" spans="1:17" x14ac:dyDescent="0.25">
      <c r="A121">
        <v>120</v>
      </c>
      <c r="B121" t="s">
        <v>1015</v>
      </c>
      <c r="C121" s="2">
        <v>27223</v>
      </c>
      <c r="D121">
        <v>52</v>
      </c>
      <c r="E121" t="s">
        <v>1016</v>
      </c>
      <c r="F121" s="1" t="s">
        <v>142</v>
      </c>
      <c r="G121" t="s">
        <v>143</v>
      </c>
      <c r="H121" t="s">
        <v>19</v>
      </c>
      <c r="I121" s="1" t="s">
        <v>1017</v>
      </c>
      <c r="J121" s="1" t="s">
        <v>1018</v>
      </c>
      <c r="K121" t="s">
        <v>1019</v>
      </c>
      <c r="L121" t="s">
        <v>1020</v>
      </c>
      <c r="M121" t="s">
        <v>48</v>
      </c>
      <c r="N121" t="s">
        <v>54</v>
      </c>
      <c r="O121" t="s">
        <v>59</v>
      </c>
      <c r="P121" t="s">
        <v>23</v>
      </c>
      <c r="Q121">
        <v>1</v>
      </c>
    </row>
    <row r="122" spans="1:17" x14ac:dyDescent="0.25">
      <c r="A122">
        <v>121</v>
      </c>
      <c r="B122" t="s">
        <v>1021</v>
      </c>
      <c r="C122" s="2">
        <v>33914</v>
      </c>
      <c r="D122">
        <v>34</v>
      </c>
      <c r="E122" t="s">
        <v>1022</v>
      </c>
      <c r="F122" s="1" t="s">
        <v>151</v>
      </c>
      <c r="G122" t="s">
        <v>152</v>
      </c>
      <c r="H122" t="s">
        <v>81</v>
      </c>
      <c r="I122" s="1" t="s">
        <v>1023</v>
      </c>
      <c r="J122" s="1" t="s">
        <v>1024</v>
      </c>
      <c r="K122" t="s">
        <v>1025</v>
      </c>
      <c r="L122" t="s">
        <v>1026</v>
      </c>
      <c r="M122" t="s">
        <v>27</v>
      </c>
      <c r="N122" t="s">
        <v>193</v>
      </c>
      <c r="O122" t="s">
        <v>40</v>
      </c>
      <c r="P122" t="s">
        <v>23</v>
      </c>
      <c r="Q122">
        <v>2</v>
      </c>
    </row>
    <row r="123" spans="1:17" x14ac:dyDescent="0.25">
      <c r="A123">
        <v>122</v>
      </c>
      <c r="B123" t="s">
        <v>1027</v>
      </c>
      <c r="C123" s="2">
        <v>32252</v>
      </c>
      <c r="D123">
        <v>38</v>
      </c>
      <c r="E123" t="s">
        <v>1028</v>
      </c>
      <c r="F123" s="1" t="s">
        <v>245</v>
      </c>
      <c r="G123" t="s">
        <v>246</v>
      </c>
      <c r="H123" t="s">
        <v>96</v>
      </c>
      <c r="I123" s="1" t="s">
        <v>1029</v>
      </c>
      <c r="J123" s="1" t="s">
        <v>1030</v>
      </c>
      <c r="K123" t="s">
        <v>1031</v>
      </c>
      <c r="L123" t="s">
        <v>1032</v>
      </c>
      <c r="M123" t="s">
        <v>48</v>
      </c>
      <c r="N123" t="s">
        <v>212</v>
      </c>
      <c r="O123" t="s">
        <v>40</v>
      </c>
      <c r="P123" t="s">
        <v>23</v>
      </c>
      <c r="Q123">
        <v>1</v>
      </c>
    </row>
    <row r="124" spans="1:17" x14ac:dyDescent="0.25">
      <c r="A124">
        <v>123</v>
      </c>
      <c r="B124" t="s">
        <v>1033</v>
      </c>
      <c r="C124" s="2">
        <v>38183</v>
      </c>
      <c r="D124">
        <v>22</v>
      </c>
      <c r="E124" t="s">
        <v>1034</v>
      </c>
      <c r="F124" s="1" t="s">
        <v>198</v>
      </c>
      <c r="G124" t="s">
        <v>199</v>
      </c>
      <c r="H124" t="s">
        <v>104</v>
      </c>
      <c r="I124" s="1" t="s">
        <v>1035</v>
      </c>
      <c r="J124" s="1" t="s">
        <v>1036</v>
      </c>
      <c r="K124" t="s">
        <v>1037</v>
      </c>
      <c r="L124" t="s">
        <v>1038</v>
      </c>
      <c r="M124" t="s">
        <v>48</v>
      </c>
      <c r="N124" t="s">
        <v>193</v>
      </c>
      <c r="O124" t="s">
        <v>35</v>
      </c>
      <c r="P124" t="s">
        <v>23</v>
      </c>
      <c r="Q124">
        <v>6</v>
      </c>
    </row>
    <row r="125" spans="1:17" x14ac:dyDescent="0.25">
      <c r="A125">
        <v>124</v>
      </c>
      <c r="B125" t="s">
        <v>1039</v>
      </c>
      <c r="C125" s="2">
        <v>31868</v>
      </c>
      <c r="D125">
        <v>39</v>
      </c>
      <c r="E125" t="s">
        <v>1040</v>
      </c>
      <c r="F125" s="1" t="s">
        <v>51</v>
      </c>
      <c r="G125" t="s">
        <v>52</v>
      </c>
      <c r="H125" t="s">
        <v>53</v>
      </c>
      <c r="I125" s="1" t="s">
        <v>1041</v>
      </c>
      <c r="J125" s="1" t="s">
        <v>1042</v>
      </c>
      <c r="K125" t="s">
        <v>1043</v>
      </c>
      <c r="L125" t="s">
        <v>1044</v>
      </c>
      <c r="M125" t="s">
        <v>27</v>
      </c>
      <c r="N125" t="s">
        <v>150</v>
      </c>
      <c r="O125" t="s">
        <v>59</v>
      </c>
      <c r="P125" t="s">
        <v>29</v>
      </c>
      <c r="Q125">
        <v>0</v>
      </c>
    </row>
    <row r="126" spans="1:17" x14ac:dyDescent="0.25">
      <c r="A126">
        <v>125</v>
      </c>
      <c r="B126" t="s">
        <v>1045</v>
      </c>
      <c r="C126" s="2">
        <v>37262</v>
      </c>
      <c r="D126">
        <v>24</v>
      </c>
      <c r="E126" t="s">
        <v>1046</v>
      </c>
      <c r="F126" s="1" t="s">
        <v>136</v>
      </c>
      <c r="G126" t="s">
        <v>137</v>
      </c>
      <c r="H126" t="s">
        <v>65</v>
      </c>
      <c r="I126" s="1" t="s">
        <v>1047</v>
      </c>
      <c r="J126" s="1" t="s">
        <v>1048</v>
      </c>
      <c r="K126" t="s">
        <v>1049</v>
      </c>
      <c r="L126" t="s">
        <v>1050</v>
      </c>
      <c r="M126" t="s">
        <v>48</v>
      </c>
      <c r="N126" t="s">
        <v>193</v>
      </c>
      <c r="O126" t="s">
        <v>40</v>
      </c>
      <c r="P126" t="s">
        <v>29</v>
      </c>
      <c r="Q126">
        <v>0</v>
      </c>
    </row>
    <row r="127" spans="1:17" x14ac:dyDescent="0.25">
      <c r="A127">
        <v>126</v>
      </c>
      <c r="B127" t="s">
        <v>1051</v>
      </c>
      <c r="C127" s="2">
        <v>33006</v>
      </c>
      <c r="D127">
        <v>36</v>
      </c>
      <c r="E127" t="s">
        <v>1052</v>
      </c>
      <c r="F127" s="1" t="s">
        <v>292</v>
      </c>
      <c r="G127" t="s">
        <v>293</v>
      </c>
      <c r="H127" t="s">
        <v>26</v>
      </c>
      <c r="I127" s="1" t="s">
        <v>1053</v>
      </c>
      <c r="J127" s="1" t="s">
        <v>1054</v>
      </c>
      <c r="K127" t="s">
        <v>1055</v>
      </c>
      <c r="L127" t="s">
        <v>1056</v>
      </c>
      <c r="M127" t="s">
        <v>48</v>
      </c>
      <c r="N127" t="s">
        <v>39</v>
      </c>
      <c r="O127" t="s">
        <v>22</v>
      </c>
      <c r="P127" t="s">
        <v>23</v>
      </c>
      <c r="Q127">
        <v>1</v>
      </c>
    </row>
    <row r="128" spans="1:17" x14ac:dyDescent="0.25">
      <c r="A128">
        <v>127</v>
      </c>
      <c r="B128" t="s">
        <v>1057</v>
      </c>
      <c r="C128" s="2">
        <v>27328</v>
      </c>
      <c r="D128">
        <v>52</v>
      </c>
      <c r="E128" t="s">
        <v>1058</v>
      </c>
      <c r="F128" s="1" t="s">
        <v>189</v>
      </c>
      <c r="G128" t="s">
        <v>190</v>
      </c>
      <c r="H128" t="s">
        <v>91</v>
      </c>
      <c r="I128" s="1" t="s">
        <v>1059</v>
      </c>
      <c r="J128" s="1" t="s">
        <v>1060</v>
      </c>
      <c r="K128" t="s">
        <v>1061</v>
      </c>
      <c r="L128" t="s">
        <v>1062</v>
      </c>
      <c r="M128" t="s">
        <v>27</v>
      </c>
      <c r="N128" t="s">
        <v>72</v>
      </c>
      <c r="O128" t="s">
        <v>50</v>
      </c>
      <c r="P128" t="s">
        <v>23</v>
      </c>
      <c r="Q128">
        <v>1</v>
      </c>
    </row>
    <row r="129" spans="1:17" x14ac:dyDescent="0.25">
      <c r="A129">
        <v>128</v>
      </c>
      <c r="B129" t="s">
        <v>1063</v>
      </c>
      <c r="C129" s="2">
        <v>30130</v>
      </c>
      <c r="D129">
        <v>44</v>
      </c>
      <c r="E129" t="s">
        <v>1064</v>
      </c>
      <c r="F129" s="1" t="s">
        <v>155</v>
      </c>
      <c r="G129" t="s">
        <v>156</v>
      </c>
      <c r="H129" t="s">
        <v>126</v>
      </c>
      <c r="I129" s="1" t="s">
        <v>1065</v>
      </c>
      <c r="J129" s="1" t="s">
        <v>1066</v>
      </c>
      <c r="K129" t="s">
        <v>1067</v>
      </c>
      <c r="L129" t="s">
        <v>1068</v>
      </c>
      <c r="M129" t="s">
        <v>48</v>
      </c>
      <c r="N129" t="s">
        <v>21</v>
      </c>
      <c r="O129" t="s">
        <v>22</v>
      </c>
      <c r="P129" t="s">
        <v>29</v>
      </c>
      <c r="Q129">
        <v>0</v>
      </c>
    </row>
    <row r="130" spans="1:17" x14ac:dyDescent="0.25">
      <c r="A130">
        <v>129</v>
      </c>
      <c r="B130" t="s">
        <v>1069</v>
      </c>
      <c r="C130" s="2">
        <v>27044</v>
      </c>
      <c r="D130">
        <v>52</v>
      </c>
      <c r="E130" t="s">
        <v>1070</v>
      </c>
      <c r="F130" s="1" t="s">
        <v>219</v>
      </c>
      <c r="G130" t="s">
        <v>220</v>
      </c>
      <c r="H130" t="s">
        <v>71</v>
      </c>
      <c r="I130" s="1" t="s">
        <v>1071</v>
      </c>
      <c r="J130" s="1" t="s">
        <v>1072</v>
      </c>
      <c r="K130" t="s">
        <v>1073</v>
      </c>
      <c r="L130" t="s">
        <v>1074</v>
      </c>
      <c r="M130" t="s">
        <v>33</v>
      </c>
      <c r="N130" t="s">
        <v>72</v>
      </c>
      <c r="O130" t="s">
        <v>40</v>
      </c>
      <c r="P130" t="s">
        <v>29</v>
      </c>
      <c r="Q130">
        <v>0</v>
      </c>
    </row>
    <row r="131" spans="1:17" x14ac:dyDescent="0.25">
      <c r="A131">
        <v>130</v>
      </c>
      <c r="B131" t="s">
        <v>1075</v>
      </c>
      <c r="C131" s="2">
        <v>30296</v>
      </c>
      <c r="D131">
        <v>44</v>
      </c>
      <c r="E131" t="s">
        <v>1076</v>
      </c>
      <c r="F131" s="1" t="s">
        <v>258</v>
      </c>
      <c r="G131" t="s">
        <v>259</v>
      </c>
      <c r="H131" t="s">
        <v>257</v>
      </c>
      <c r="I131" s="1" t="s">
        <v>1077</v>
      </c>
      <c r="J131" s="1" t="s">
        <v>1078</v>
      </c>
      <c r="K131" t="s">
        <v>1079</v>
      </c>
      <c r="L131" t="s">
        <v>1080</v>
      </c>
      <c r="M131" t="s">
        <v>27</v>
      </c>
      <c r="N131" t="s">
        <v>82</v>
      </c>
      <c r="O131" t="s">
        <v>22</v>
      </c>
      <c r="P131" t="s">
        <v>29</v>
      </c>
      <c r="Q131">
        <v>0</v>
      </c>
    </row>
    <row r="132" spans="1:17" x14ac:dyDescent="0.25">
      <c r="A132">
        <v>131</v>
      </c>
      <c r="B132" t="s">
        <v>1081</v>
      </c>
      <c r="C132" s="2">
        <v>32431</v>
      </c>
      <c r="D132">
        <v>38</v>
      </c>
      <c r="E132" t="s">
        <v>1082</v>
      </c>
      <c r="F132" s="1" t="s">
        <v>51</v>
      </c>
      <c r="G132" t="s">
        <v>52</v>
      </c>
      <c r="H132" t="s">
        <v>53</v>
      </c>
      <c r="I132" s="1" t="s">
        <v>1083</v>
      </c>
      <c r="J132" s="1" t="s">
        <v>1084</v>
      </c>
      <c r="K132" t="s">
        <v>1085</v>
      </c>
      <c r="L132" t="s">
        <v>1086</v>
      </c>
      <c r="M132" t="s">
        <v>27</v>
      </c>
      <c r="N132" t="s">
        <v>21</v>
      </c>
      <c r="O132" t="s">
        <v>35</v>
      </c>
      <c r="P132" t="s">
        <v>23</v>
      </c>
      <c r="Q132">
        <v>1</v>
      </c>
    </row>
    <row r="133" spans="1:17" x14ac:dyDescent="0.25">
      <c r="A133">
        <v>132</v>
      </c>
      <c r="B133" t="s">
        <v>1087</v>
      </c>
      <c r="C133" s="2">
        <v>31706</v>
      </c>
      <c r="D133">
        <v>40</v>
      </c>
      <c r="E133" t="s">
        <v>1088</v>
      </c>
      <c r="F133" s="1" t="s">
        <v>117</v>
      </c>
      <c r="G133" t="s">
        <v>118</v>
      </c>
      <c r="H133" t="s">
        <v>119</v>
      </c>
      <c r="I133" s="1" t="s">
        <v>1089</v>
      </c>
      <c r="J133" s="1" t="s">
        <v>1090</v>
      </c>
      <c r="K133" t="s">
        <v>1091</v>
      </c>
      <c r="L133" t="s">
        <v>1092</v>
      </c>
      <c r="M133" t="s">
        <v>27</v>
      </c>
      <c r="N133" t="s">
        <v>54</v>
      </c>
      <c r="O133" t="s">
        <v>50</v>
      </c>
      <c r="P133" t="s">
        <v>23</v>
      </c>
      <c r="Q133">
        <v>1</v>
      </c>
    </row>
    <row r="134" spans="1:17" x14ac:dyDescent="0.25">
      <c r="A134">
        <v>133</v>
      </c>
      <c r="B134" t="s">
        <v>1093</v>
      </c>
      <c r="C134" s="2">
        <v>26785</v>
      </c>
      <c r="D134">
        <v>53</v>
      </c>
      <c r="E134" t="s">
        <v>1094</v>
      </c>
      <c r="F134" s="1" t="s">
        <v>140</v>
      </c>
      <c r="G134" t="s">
        <v>141</v>
      </c>
      <c r="H134" t="s">
        <v>110</v>
      </c>
      <c r="I134" s="1" t="s">
        <v>1095</v>
      </c>
      <c r="J134" s="1" t="s">
        <v>1096</v>
      </c>
      <c r="K134" t="s">
        <v>1097</v>
      </c>
      <c r="L134" t="s">
        <v>1098</v>
      </c>
      <c r="M134" t="s">
        <v>33</v>
      </c>
      <c r="N134" t="s">
        <v>212</v>
      </c>
      <c r="O134" t="s">
        <v>22</v>
      </c>
      <c r="P134" t="s">
        <v>23</v>
      </c>
      <c r="Q134">
        <v>1</v>
      </c>
    </row>
    <row r="135" spans="1:17" x14ac:dyDescent="0.25">
      <c r="A135">
        <v>134</v>
      </c>
      <c r="B135" t="s">
        <v>1099</v>
      </c>
      <c r="C135" s="2">
        <v>37122</v>
      </c>
      <c r="D135">
        <v>25</v>
      </c>
      <c r="E135" t="s">
        <v>1100</v>
      </c>
      <c r="F135" s="1" t="s">
        <v>270</v>
      </c>
      <c r="G135" t="s">
        <v>271</v>
      </c>
      <c r="H135" t="s">
        <v>81</v>
      </c>
      <c r="I135" s="1" t="s">
        <v>1101</v>
      </c>
      <c r="J135" s="1" t="s">
        <v>1102</v>
      </c>
      <c r="K135" t="s">
        <v>1103</v>
      </c>
      <c r="L135" t="s">
        <v>1104</v>
      </c>
      <c r="M135" t="s">
        <v>27</v>
      </c>
      <c r="N135" t="s">
        <v>54</v>
      </c>
      <c r="O135" t="s">
        <v>40</v>
      </c>
      <c r="P135" t="s">
        <v>29</v>
      </c>
      <c r="Q135">
        <v>0</v>
      </c>
    </row>
    <row r="136" spans="1:17" x14ac:dyDescent="0.25">
      <c r="A136">
        <v>135</v>
      </c>
      <c r="B136" t="s">
        <v>1105</v>
      </c>
      <c r="C136" s="2">
        <v>24386</v>
      </c>
      <c r="D136">
        <v>60</v>
      </c>
      <c r="E136" t="s">
        <v>1106</v>
      </c>
      <c r="F136" s="1" t="s">
        <v>136</v>
      </c>
      <c r="G136" t="s">
        <v>137</v>
      </c>
      <c r="H136" t="s">
        <v>65</v>
      </c>
      <c r="I136" s="1" t="s">
        <v>1107</v>
      </c>
      <c r="J136" s="1" t="s">
        <v>1108</v>
      </c>
      <c r="K136" t="s">
        <v>1109</v>
      </c>
      <c r="L136" t="s">
        <v>1110</v>
      </c>
      <c r="M136" t="s">
        <v>48</v>
      </c>
      <c r="N136" t="s">
        <v>49</v>
      </c>
      <c r="O136" t="s">
        <v>40</v>
      </c>
      <c r="P136" t="s">
        <v>29</v>
      </c>
      <c r="Q136">
        <v>0</v>
      </c>
    </row>
    <row r="137" spans="1:17" x14ac:dyDescent="0.25">
      <c r="A137">
        <v>136</v>
      </c>
      <c r="B137" t="s">
        <v>1111</v>
      </c>
      <c r="C137" s="2">
        <v>38162</v>
      </c>
      <c r="D137">
        <v>22</v>
      </c>
      <c r="E137" t="s">
        <v>1112</v>
      </c>
      <c r="F137" s="1" t="s">
        <v>230</v>
      </c>
      <c r="G137" t="s">
        <v>231</v>
      </c>
      <c r="H137" t="s">
        <v>62</v>
      </c>
      <c r="I137" s="1" t="s">
        <v>1113</v>
      </c>
      <c r="J137" s="1" t="s">
        <v>1114</v>
      </c>
      <c r="K137" t="s">
        <v>1115</v>
      </c>
      <c r="L137" t="s">
        <v>1116</v>
      </c>
      <c r="M137" t="s">
        <v>48</v>
      </c>
      <c r="N137" t="s">
        <v>49</v>
      </c>
      <c r="O137" t="s">
        <v>40</v>
      </c>
      <c r="P137" t="s">
        <v>23</v>
      </c>
      <c r="Q137">
        <v>1</v>
      </c>
    </row>
    <row r="138" spans="1:17" x14ac:dyDescent="0.25">
      <c r="A138">
        <v>137</v>
      </c>
      <c r="B138" t="s">
        <v>1117</v>
      </c>
      <c r="C138" s="2">
        <v>22792</v>
      </c>
      <c r="D138">
        <v>64</v>
      </c>
      <c r="E138" t="s">
        <v>1118</v>
      </c>
      <c r="F138" s="1" t="s">
        <v>127</v>
      </c>
      <c r="G138" t="s">
        <v>128</v>
      </c>
      <c r="H138" t="s">
        <v>96</v>
      </c>
      <c r="I138" s="1" t="s">
        <v>1119</v>
      </c>
      <c r="J138" s="1" t="s">
        <v>1120</v>
      </c>
      <c r="K138" t="s">
        <v>1121</v>
      </c>
      <c r="L138" t="s">
        <v>1122</v>
      </c>
      <c r="M138" t="s">
        <v>48</v>
      </c>
      <c r="N138" t="s">
        <v>88</v>
      </c>
      <c r="O138" t="s">
        <v>22</v>
      </c>
      <c r="P138" t="s">
        <v>23</v>
      </c>
      <c r="Q138">
        <v>1</v>
      </c>
    </row>
    <row r="139" spans="1:17" x14ac:dyDescent="0.25">
      <c r="A139">
        <v>138</v>
      </c>
      <c r="B139" t="s">
        <v>1123</v>
      </c>
      <c r="C139" s="2">
        <v>24405</v>
      </c>
      <c r="D139">
        <v>60</v>
      </c>
      <c r="E139" t="s">
        <v>297</v>
      </c>
      <c r="F139" s="1" t="s">
        <v>221</v>
      </c>
      <c r="G139" t="s">
        <v>222</v>
      </c>
      <c r="H139" t="s">
        <v>77</v>
      </c>
      <c r="I139" s="1" t="s">
        <v>1124</v>
      </c>
      <c r="J139" s="1" t="s">
        <v>1125</v>
      </c>
      <c r="K139" t="s">
        <v>1126</v>
      </c>
      <c r="L139" t="s">
        <v>1127</v>
      </c>
      <c r="M139" t="s">
        <v>27</v>
      </c>
      <c r="N139" t="s">
        <v>106</v>
      </c>
      <c r="O139" t="s">
        <v>35</v>
      </c>
      <c r="P139" t="s">
        <v>29</v>
      </c>
      <c r="Q139">
        <v>0</v>
      </c>
    </row>
    <row r="140" spans="1:17" x14ac:dyDescent="0.25">
      <c r="A140">
        <v>139</v>
      </c>
      <c r="B140" t="s">
        <v>1128</v>
      </c>
      <c r="C140" s="2">
        <v>37638</v>
      </c>
      <c r="D140">
        <v>23</v>
      </c>
      <c r="E140" t="s">
        <v>1129</v>
      </c>
      <c r="F140" s="1" t="s">
        <v>183</v>
      </c>
      <c r="G140" t="s">
        <v>184</v>
      </c>
      <c r="H140" t="s">
        <v>169</v>
      </c>
      <c r="I140" s="1" t="s">
        <v>1130</v>
      </c>
      <c r="J140" s="1" t="s">
        <v>1131</v>
      </c>
      <c r="K140" t="s">
        <v>1132</v>
      </c>
      <c r="L140" t="s">
        <v>1133</v>
      </c>
      <c r="M140" t="s">
        <v>27</v>
      </c>
      <c r="N140" t="s">
        <v>150</v>
      </c>
      <c r="O140" t="s">
        <v>59</v>
      </c>
      <c r="P140" t="s">
        <v>29</v>
      </c>
      <c r="Q140">
        <v>0</v>
      </c>
    </row>
    <row r="141" spans="1:17" x14ac:dyDescent="0.25">
      <c r="A141">
        <v>140</v>
      </c>
      <c r="B141" t="s">
        <v>1134</v>
      </c>
      <c r="C141" s="2">
        <v>24126</v>
      </c>
      <c r="D141">
        <v>60</v>
      </c>
      <c r="E141" t="s">
        <v>1135</v>
      </c>
      <c r="F141" s="1" t="s">
        <v>194</v>
      </c>
      <c r="G141" t="s">
        <v>195</v>
      </c>
      <c r="H141" t="s">
        <v>38</v>
      </c>
      <c r="I141" s="1" t="s">
        <v>1136</v>
      </c>
      <c r="J141" s="1" t="s">
        <v>1137</v>
      </c>
      <c r="K141" t="s">
        <v>1138</v>
      </c>
      <c r="L141" t="s">
        <v>1139</v>
      </c>
      <c r="M141" t="s">
        <v>48</v>
      </c>
      <c r="N141" t="s">
        <v>58</v>
      </c>
      <c r="O141" t="s">
        <v>50</v>
      </c>
      <c r="P141" t="s">
        <v>23</v>
      </c>
      <c r="Q141">
        <v>1</v>
      </c>
    </row>
    <row r="142" spans="1:17" x14ac:dyDescent="0.25">
      <c r="A142">
        <v>141</v>
      </c>
      <c r="B142" t="s">
        <v>1140</v>
      </c>
      <c r="C142" s="2">
        <v>28511</v>
      </c>
      <c r="D142">
        <v>48</v>
      </c>
      <c r="E142" t="s">
        <v>1141</v>
      </c>
      <c r="F142" s="1" t="s">
        <v>250</v>
      </c>
      <c r="G142" t="s">
        <v>251</v>
      </c>
      <c r="H142" t="s">
        <v>43</v>
      </c>
      <c r="I142" s="1" t="s">
        <v>1142</v>
      </c>
      <c r="J142" s="1" t="s">
        <v>1143</v>
      </c>
      <c r="K142" t="s">
        <v>1144</v>
      </c>
      <c r="L142" t="s">
        <v>1145</v>
      </c>
      <c r="M142" t="s">
        <v>68</v>
      </c>
      <c r="N142" t="s">
        <v>82</v>
      </c>
      <c r="O142" t="s">
        <v>50</v>
      </c>
      <c r="P142" t="s">
        <v>29</v>
      </c>
      <c r="Q142">
        <v>0</v>
      </c>
    </row>
    <row r="143" spans="1:17" x14ac:dyDescent="0.25">
      <c r="A143">
        <v>142</v>
      </c>
      <c r="B143" t="s">
        <v>1146</v>
      </c>
      <c r="C143" s="2">
        <v>32072</v>
      </c>
      <c r="D143">
        <v>39</v>
      </c>
      <c r="E143" t="s">
        <v>299</v>
      </c>
      <c r="F143" s="1" t="s">
        <v>232</v>
      </c>
      <c r="G143" t="s">
        <v>233</v>
      </c>
      <c r="H143" t="s">
        <v>19</v>
      </c>
      <c r="I143" s="1" t="s">
        <v>1147</v>
      </c>
      <c r="J143" s="1" t="s">
        <v>1148</v>
      </c>
      <c r="K143" t="s">
        <v>1149</v>
      </c>
      <c r="L143" t="s">
        <v>1150</v>
      </c>
      <c r="M143" t="s">
        <v>48</v>
      </c>
      <c r="N143" t="s">
        <v>54</v>
      </c>
      <c r="O143" t="s">
        <v>59</v>
      </c>
      <c r="P143" t="s">
        <v>23</v>
      </c>
      <c r="Q143">
        <v>3</v>
      </c>
    </row>
    <row r="144" spans="1:17" x14ac:dyDescent="0.25">
      <c r="A144">
        <v>143</v>
      </c>
      <c r="B144" t="s">
        <v>1151</v>
      </c>
      <c r="C144" s="2">
        <v>23688</v>
      </c>
      <c r="D144">
        <v>62</v>
      </c>
      <c r="E144" t="s">
        <v>1152</v>
      </c>
      <c r="F144" s="1" t="s">
        <v>282</v>
      </c>
      <c r="G144" t="s">
        <v>283</v>
      </c>
      <c r="H144" t="s">
        <v>53</v>
      </c>
      <c r="I144" s="1" t="s">
        <v>1153</v>
      </c>
      <c r="J144" s="1" t="s">
        <v>1154</v>
      </c>
      <c r="K144" t="s">
        <v>1155</v>
      </c>
      <c r="L144" t="s">
        <v>1156</v>
      </c>
      <c r="M144" t="s">
        <v>48</v>
      </c>
      <c r="N144" t="s">
        <v>78</v>
      </c>
      <c r="O144" t="s">
        <v>40</v>
      </c>
      <c r="P144" t="s">
        <v>23</v>
      </c>
      <c r="Q144">
        <v>1</v>
      </c>
    </row>
    <row r="145" spans="1:17" x14ac:dyDescent="0.25">
      <c r="A145">
        <v>144</v>
      </c>
      <c r="B145" t="s">
        <v>1157</v>
      </c>
      <c r="C145" s="2">
        <v>36448</v>
      </c>
      <c r="D145">
        <v>27</v>
      </c>
      <c r="E145" t="s">
        <v>1158</v>
      </c>
      <c r="F145" s="1" t="s">
        <v>286</v>
      </c>
      <c r="G145" t="s">
        <v>287</v>
      </c>
      <c r="H145" t="s">
        <v>32</v>
      </c>
      <c r="I145" s="1" t="s">
        <v>1159</v>
      </c>
      <c r="J145" s="1" t="s">
        <v>1160</v>
      </c>
      <c r="K145" t="s">
        <v>1161</v>
      </c>
      <c r="L145" t="s">
        <v>1162</v>
      </c>
      <c r="M145" t="s">
        <v>27</v>
      </c>
      <c r="N145" t="s">
        <v>193</v>
      </c>
      <c r="O145" t="s">
        <v>59</v>
      </c>
      <c r="P145" t="s">
        <v>23</v>
      </c>
      <c r="Q145">
        <v>3</v>
      </c>
    </row>
    <row r="146" spans="1:17" x14ac:dyDescent="0.25">
      <c r="A146">
        <v>145</v>
      </c>
      <c r="B146" t="s">
        <v>1163</v>
      </c>
      <c r="C146" s="2">
        <v>37670</v>
      </c>
      <c r="D146">
        <v>23</v>
      </c>
      <c r="E146" t="s">
        <v>1164</v>
      </c>
      <c r="F146" s="1" t="s">
        <v>280</v>
      </c>
      <c r="G146" t="s">
        <v>281</v>
      </c>
      <c r="H146" t="s">
        <v>249</v>
      </c>
      <c r="I146" s="1" t="s">
        <v>1165</v>
      </c>
      <c r="J146" s="1" t="s">
        <v>1166</v>
      </c>
      <c r="K146" t="s">
        <v>1167</v>
      </c>
      <c r="L146" t="s">
        <v>1168</v>
      </c>
      <c r="M146" t="s">
        <v>48</v>
      </c>
      <c r="N146" t="s">
        <v>88</v>
      </c>
      <c r="O146" t="s">
        <v>22</v>
      </c>
      <c r="P146" t="s">
        <v>29</v>
      </c>
      <c r="Q146">
        <v>0</v>
      </c>
    </row>
    <row r="147" spans="1:17" x14ac:dyDescent="0.25">
      <c r="A147">
        <v>146</v>
      </c>
      <c r="B147" t="s">
        <v>1169</v>
      </c>
      <c r="C147" s="2">
        <v>38541</v>
      </c>
      <c r="D147">
        <v>21</v>
      </c>
      <c r="E147" t="s">
        <v>1170</v>
      </c>
      <c r="F147" s="1" t="s">
        <v>196</v>
      </c>
      <c r="G147" t="s">
        <v>197</v>
      </c>
      <c r="H147" t="s">
        <v>57</v>
      </c>
      <c r="I147" s="1" t="s">
        <v>1171</v>
      </c>
      <c r="J147" s="1" t="s">
        <v>1172</v>
      </c>
      <c r="K147" t="s">
        <v>1173</v>
      </c>
      <c r="L147" t="s">
        <v>1174</v>
      </c>
      <c r="M147" t="s">
        <v>27</v>
      </c>
      <c r="N147" t="s">
        <v>72</v>
      </c>
      <c r="O147" t="s">
        <v>22</v>
      </c>
      <c r="P147" t="s">
        <v>23</v>
      </c>
      <c r="Q147">
        <v>3</v>
      </c>
    </row>
    <row r="148" spans="1:17" x14ac:dyDescent="0.25">
      <c r="A148">
        <v>147</v>
      </c>
      <c r="B148" t="s">
        <v>1175</v>
      </c>
      <c r="C148" s="2">
        <v>37707</v>
      </c>
      <c r="D148">
        <v>23</v>
      </c>
      <c r="E148" t="s">
        <v>1176</v>
      </c>
      <c r="F148" s="1" t="s">
        <v>83</v>
      </c>
      <c r="G148" t="s">
        <v>84</v>
      </c>
      <c r="H148" t="s">
        <v>26</v>
      </c>
      <c r="I148" s="1" t="s">
        <v>1177</v>
      </c>
      <c r="J148" s="1" t="s">
        <v>1178</v>
      </c>
      <c r="K148" t="s">
        <v>1179</v>
      </c>
      <c r="L148" t="s">
        <v>1180</v>
      </c>
      <c r="M148" t="s">
        <v>33</v>
      </c>
      <c r="N148" t="s">
        <v>67</v>
      </c>
      <c r="O148" t="s">
        <v>22</v>
      </c>
      <c r="P148" t="s">
        <v>29</v>
      </c>
      <c r="Q148">
        <v>0</v>
      </c>
    </row>
    <row r="149" spans="1:17" x14ac:dyDescent="0.25">
      <c r="A149">
        <v>148</v>
      </c>
      <c r="B149" t="s">
        <v>1181</v>
      </c>
      <c r="C149" s="2">
        <v>31133</v>
      </c>
      <c r="D149">
        <v>41</v>
      </c>
      <c r="E149" t="s">
        <v>1182</v>
      </c>
      <c r="F149" s="1" t="s">
        <v>161</v>
      </c>
      <c r="G149" t="s">
        <v>162</v>
      </c>
      <c r="H149" t="s">
        <v>53</v>
      </c>
      <c r="I149" s="1" t="s">
        <v>1183</v>
      </c>
      <c r="J149" s="1" t="s">
        <v>1184</v>
      </c>
      <c r="K149" t="s">
        <v>1185</v>
      </c>
      <c r="L149" t="s">
        <v>1186</v>
      </c>
      <c r="M149" t="s">
        <v>48</v>
      </c>
      <c r="N149" t="s">
        <v>78</v>
      </c>
      <c r="O149" t="s">
        <v>22</v>
      </c>
      <c r="P149" t="s">
        <v>29</v>
      </c>
      <c r="Q149">
        <v>0</v>
      </c>
    </row>
    <row r="150" spans="1:17" x14ac:dyDescent="0.25">
      <c r="A150">
        <v>149</v>
      </c>
      <c r="B150" t="s">
        <v>1187</v>
      </c>
      <c r="C150" s="2">
        <v>30002</v>
      </c>
      <c r="D150">
        <v>44</v>
      </c>
      <c r="E150" t="s">
        <v>1188</v>
      </c>
      <c r="F150" s="1" t="s">
        <v>63</v>
      </c>
      <c r="G150" t="s">
        <v>64</v>
      </c>
      <c r="H150" t="s">
        <v>65</v>
      </c>
      <c r="I150" s="1" t="s">
        <v>1189</v>
      </c>
      <c r="J150" s="1" t="s">
        <v>1190</v>
      </c>
      <c r="K150" t="s">
        <v>1191</v>
      </c>
      <c r="L150" t="s">
        <v>1192</v>
      </c>
      <c r="M150" t="s">
        <v>48</v>
      </c>
      <c r="N150" t="s">
        <v>72</v>
      </c>
      <c r="O150" t="s">
        <v>50</v>
      </c>
      <c r="P150" t="s">
        <v>29</v>
      </c>
      <c r="Q150">
        <v>0</v>
      </c>
    </row>
    <row r="151" spans="1:17" x14ac:dyDescent="0.25">
      <c r="A151">
        <v>150</v>
      </c>
      <c r="B151" t="s">
        <v>1193</v>
      </c>
      <c r="C151" s="2">
        <v>34995</v>
      </c>
      <c r="D151">
        <v>31</v>
      </c>
      <c r="E151" t="s">
        <v>1194</v>
      </c>
      <c r="F151" s="1" t="s">
        <v>219</v>
      </c>
      <c r="G151" t="s">
        <v>220</v>
      </c>
      <c r="H151" t="s">
        <v>71</v>
      </c>
      <c r="I151" s="1" t="s">
        <v>1195</v>
      </c>
      <c r="J151" s="1" t="s">
        <v>1196</v>
      </c>
      <c r="K151" t="s">
        <v>1197</v>
      </c>
      <c r="L151" t="s">
        <v>1198</v>
      </c>
      <c r="M151" t="s">
        <v>33</v>
      </c>
      <c r="N151" t="s">
        <v>106</v>
      </c>
      <c r="O151" t="s">
        <v>59</v>
      </c>
      <c r="P151" t="s">
        <v>29</v>
      </c>
      <c r="Q151">
        <v>0</v>
      </c>
    </row>
    <row r="152" spans="1:17" x14ac:dyDescent="0.25">
      <c r="A152">
        <v>151</v>
      </c>
      <c r="B152" t="s">
        <v>1199</v>
      </c>
      <c r="C152" s="2">
        <v>36631</v>
      </c>
      <c r="D152">
        <v>26</v>
      </c>
      <c r="E152" t="s">
        <v>1200</v>
      </c>
      <c r="F152" s="1" t="s">
        <v>129</v>
      </c>
      <c r="G152" t="s">
        <v>130</v>
      </c>
      <c r="H152" t="s">
        <v>77</v>
      </c>
      <c r="I152" s="1" t="s">
        <v>1201</v>
      </c>
      <c r="J152" s="1" t="s">
        <v>1202</v>
      </c>
      <c r="K152" t="s">
        <v>1203</v>
      </c>
      <c r="L152" t="s">
        <v>1204</v>
      </c>
      <c r="M152" t="s">
        <v>27</v>
      </c>
      <c r="N152" t="s">
        <v>72</v>
      </c>
      <c r="O152" t="s">
        <v>59</v>
      </c>
      <c r="P152" t="s">
        <v>23</v>
      </c>
      <c r="Q152">
        <v>1</v>
      </c>
    </row>
    <row r="153" spans="1:17" x14ac:dyDescent="0.25">
      <c r="A153">
        <v>152</v>
      </c>
      <c r="B153" t="s">
        <v>1205</v>
      </c>
      <c r="C153" s="2">
        <v>26613</v>
      </c>
      <c r="D153">
        <v>54</v>
      </c>
      <c r="E153" t="s">
        <v>1206</v>
      </c>
      <c r="F153" s="1" t="s">
        <v>276</v>
      </c>
      <c r="G153" t="s">
        <v>277</v>
      </c>
      <c r="H153" t="s">
        <v>38</v>
      </c>
      <c r="I153" s="1" t="s">
        <v>1207</v>
      </c>
      <c r="J153" s="1" t="s">
        <v>1208</v>
      </c>
      <c r="K153" t="s">
        <v>1209</v>
      </c>
      <c r="L153" t="s">
        <v>1210</v>
      </c>
      <c r="M153" t="s">
        <v>48</v>
      </c>
      <c r="N153" t="s">
        <v>54</v>
      </c>
      <c r="O153" t="s">
        <v>22</v>
      </c>
      <c r="P153" t="s">
        <v>29</v>
      </c>
      <c r="Q153">
        <v>0</v>
      </c>
    </row>
    <row r="154" spans="1:17" x14ac:dyDescent="0.25">
      <c r="A154">
        <v>153</v>
      </c>
      <c r="B154" t="s">
        <v>1211</v>
      </c>
      <c r="C154" s="2">
        <v>33756</v>
      </c>
      <c r="D154">
        <v>34</v>
      </c>
      <c r="E154" t="s">
        <v>1212</v>
      </c>
      <c r="F154" s="1" t="s">
        <v>79</v>
      </c>
      <c r="G154" t="s">
        <v>80</v>
      </c>
      <c r="H154" t="s">
        <v>81</v>
      </c>
      <c r="I154" s="1" t="s">
        <v>1213</v>
      </c>
      <c r="J154" s="1" t="s">
        <v>1214</v>
      </c>
      <c r="K154" t="s">
        <v>1215</v>
      </c>
      <c r="L154" t="s">
        <v>1216</v>
      </c>
      <c r="M154" t="s">
        <v>27</v>
      </c>
      <c r="N154" t="s">
        <v>212</v>
      </c>
      <c r="O154" t="s">
        <v>22</v>
      </c>
      <c r="P154" t="s">
        <v>23</v>
      </c>
      <c r="Q154">
        <v>2</v>
      </c>
    </row>
    <row r="155" spans="1:17" x14ac:dyDescent="0.25">
      <c r="A155">
        <v>154</v>
      </c>
      <c r="B155" t="s">
        <v>1217</v>
      </c>
      <c r="C155" s="2">
        <v>34852</v>
      </c>
      <c r="D155">
        <v>31</v>
      </c>
      <c r="E155" t="s">
        <v>1218</v>
      </c>
      <c r="F155" s="1" t="s">
        <v>232</v>
      </c>
      <c r="G155" t="s">
        <v>233</v>
      </c>
      <c r="H155" t="s">
        <v>19</v>
      </c>
      <c r="I155" s="1" t="s">
        <v>1219</v>
      </c>
      <c r="J155" s="1" t="s">
        <v>1220</v>
      </c>
      <c r="K155" t="s">
        <v>1221</v>
      </c>
      <c r="L155" t="s">
        <v>1222</v>
      </c>
      <c r="M155" t="s">
        <v>27</v>
      </c>
      <c r="N155" t="s">
        <v>39</v>
      </c>
      <c r="O155" t="s">
        <v>35</v>
      </c>
      <c r="P155" t="s">
        <v>23</v>
      </c>
      <c r="Q155">
        <v>1</v>
      </c>
    </row>
    <row r="156" spans="1:17" x14ac:dyDescent="0.25">
      <c r="A156">
        <v>155</v>
      </c>
      <c r="B156" t="s">
        <v>1223</v>
      </c>
      <c r="C156" s="2">
        <v>34224</v>
      </c>
      <c r="D156">
        <v>33</v>
      </c>
      <c r="E156" t="s">
        <v>1224</v>
      </c>
      <c r="F156" s="1" t="s">
        <v>243</v>
      </c>
      <c r="G156" t="s">
        <v>244</v>
      </c>
      <c r="H156" t="s">
        <v>135</v>
      </c>
      <c r="I156" s="1" t="s">
        <v>1225</v>
      </c>
      <c r="J156" s="1" t="s">
        <v>1226</v>
      </c>
      <c r="K156" t="s">
        <v>1227</v>
      </c>
      <c r="L156" t="s">
        <v>1228</v>
      </c>
      <c r="M156" t="s">
        <v>27</v>
      </c>
      <c r="N156" t="s">
        <v>58</v>
      </c>
      <c r="O156" t="s">
        <v>59</v>
      </c>
      <c r="P156" t="s">
        <v>29</v>
      </c>
      <c r="Q156">
        <v>0</v>
      </c>
    </row>
    <row r="157" spans="1:17" x14ac:dyDescent="0.25">
      <c r="A157">
        <v>156</v>
      </c>
      <c r="B157" t="s">
        <v>1229</v>
      </c>
      <c r="C157" s="2">
        <v>37892</v>
      </c>
      <c r="D157">
        <v>23</v>
      </c>
      <c r="E157" t="s">
        <v>1230</v>
      </c>
      <c r="F157" s="1" t="s">
        <v>153</v>
      </c>
      <c r="G157" t="s">
        <v>154</v>
      </c>
      <c r="H157" t="s">
        <v>104</v>
      </c>
      <c r="I157" s="1" t="s">
        <v>1231</v>
      </c>
      <c r="J157" s="1" t="s">
        <v>1232</v>
      </c>
      <c r="K157" t="s">
        <v>1233</v>
      </c>
      <c r="L157" t="s">
        <v>1234</v>
      </c>
      <c r="M157" t="s">
        <v>27</v>
      </c>
      <c r="N157" t="s">
        <v>54</v>
      </c>
      <c r="O157" t="s">
        <v>22</v>
      </c>
      <c r="P157" t="s">
        <v>29</v>
      </c>
      <c r="Q157">
        <v>0</v>
      </c>
    </row>
    <row r="158" spans="1:17" x14ac:dyDescent="0.25">
      <c r="A158">
        <v>157</v>
      </c>
      <c r="B158" t="s">
        <v>1235</v>
      </c>
      <c r="C158" s="2">
        <v>33710</v>
      </c>
      <c r="D158">
        <v>34</v>
      </c>
      <c r="E158" t="s">
        <v>1236</v>
      </c>
      <c r="F158" s="1" t="s">
        <v>111</v>
      </c>
      <c r="G158" t="s">
        <v>112</v>
      </c>
      <c r="H158" t="s">
        <v>113</v>
      </c>
      <c r="I158" s="1" t="s">
        <v>1237</v>
      </c>
      <c r="J158" s="1" t="s">
        <v>1238</v>
      </c>
      <c r="K158" t="s">
        <v>1239</v>
      </c>
      <c r="L158" t="s">
        <v>1240</v>
      </c>
      <c r="M158" t="s">
        <v>27</v>
      </c>
      <c r="N158" t="s">
        <v>82</v>
      </c>
      <c r="O158" t="s">
        <v>22</v>
      </c>
      <c r="P158" t="s">
        <v>23</v>
      </c>
      <c r="Q158">
        <v>1</v>
      </c>
    </row>
    <row r="159" spans="1:17" x14ac:dyDescent="0.25">
      <c r="A159">
        <v>158</v>
      </c>
      <c r="B159" t="s">
        <v>1241</v>
      </c>
      <c r="C159" s="2">
        <v>27807</v>
      </c>
      <c r="D159">
        <v>50</v>
      </c>
      <c r="E159" t="s">
        <v>1242</v>
      </c>
      <c r="F159" s="1" t="s">
        <v>189</v>
      </c>
      <c r="G159" t="s">
        <v>190</v>
      </c>
      <c r="H159" t="s">
        <v>91</v>
      </c>
      <c r="I159" s="1" t="s">
        <v>1243</v>
      </c>
      <c r="J159" s="1" t="s">
        <v>1244</v>
      </c>
      <c r="K159" t="s">
        <v>1245</v>
      </c>
      <c r="L159" t="s">
        <v>1246</v>
      </c>
      <c r="M159" t="s">
        <v>27</v>
      </c>
      <c r="N159" t="s">
        <v>66</v>
      </c>
      <c r="O159" t="s">
        <v>59</v>
      </c>
      <c r="P159" t="s">
        <v>23</v>
      </c>
      <c r="Q159">
        <v>1</v>
      </c>
    </row>
    <row r="160" spans="1:17" x14ac:dyDescent="0.25">
      <c r="A160">
        <v>159</v>
      </c>
      <c r="B160" t="s">
        <v>1247</v>
      </c>
      <c r="C160" s="2">
        <v>33811</v>
      </c>
      <c r="D160">
        <v>34</v>
      </c>
      <c r="E160" t="s">
        <v>300</v>
      </c>
      <c r="F160" s="1" t="s">
        <v>255</v>
      </c>
      <c r="G160" t="s">
        <v>256</v>
      </c>
      <c r="H160" t="s">
        <v>257</v>
      </c>
      <c r="I160" s="1" t="s">
        <v>1248</v>
      </c>
      <c r="J160" s="1" t="s">
        <v>1249</v>
      </c>
      <c r="K160" t="s">
        <v>1250</v>
      </c>
      <c r="L160" t="s">
        <v>1251</v>
      </c>
      <c r="M160" t="s">
        <v>33</v>
      </c>
      <c r="N160" t="s">
        <v>78</v>
      </c>
      <c r="O160" t="s">
        <v>50</v>
      </c>
      <c r="P160" t="s">
        <v>23</v>
      </c>
      <c r="Q160">
        <v>1</v>
      </c>
    </row>
    <row r="161" spans="1:17" x14ac:dyDescent="0.25">
      <c r="A161">
        <v>160</v>
      </c>
      <c r="B161" t="s">
        <v>1252</v>
      </c>
      <c r="C161" s="2">
        <v>37472</v>
      </c>
      <c r="D161">
        <v>24</v>
      </c>
      <c r="E161" t="s">
        <v>1253</v>
      </c>
      <c r="F161" s="1" t="s">
        <v>280</v>
      </c>
      <c r="G161" t="s">
        <v>281</v>
      </c>
      <c r="H161" t="s">
        <v>249</v>
      </c>
      <c r="I161" s="1" t="s">
        <v>1254</v>
      </c>
      <c r="J161" s="1" t="s">
        <v>1255</v>
      </c>
      <c r="K161" t="s">
        <v>1256</v>
      </c>
      <c r="L161" t="s">
        <v>1257</v>
      </c>
      <c r="M161" t="s">
        <v>27</v>
      </c>
      <c r="N161" t="s">
        <v>114</v>
      </c>
      <c r="O161" t="s">
        <v>35</v>
      </c>
      <c r="P161" t="s">
        <v>23</v>
      </c>
      <c r="Q161">
        <v>1</v>
      </c>
    </row>
    <row r="162" spans="1:17" x14ac:dyDescent="0.25">
      <c r="A162">
        <v>161</v>
      </c>
      <c r="B162" t="s">
        <v>1258</v>
      </c>
      <c r="C162" s="2">
        <v>33809</v>
      </c>
      <c r="D162">
        <v>34</v>
      </c>
      <c r="E162" t="s">
        <v>1259</v>
      </c>
      <c r="F162" s="1" t="s">
        <v>234</v>
      </c>
      <c r="G162" t="s">
        <v>235</v>
      </c>
      <c r="H162" t="s">
        <v>236</v>
      </c>
      <c r="I162" s="1" t="s">
        <v>1260</v>
      </c>
      <c r="J162" s="1" t="s">
        <v>1261</v>
      </c>
      <c r="K162" t="s">
        <v>1262</v>
      </c>
      <c r="L162" t="s">
        <v>1263</v>
      </c>
      <c r="M162" t="s">
        <v>33</v>
      </c>
      <c r="N162" t="s">
        <v>67</v>
      </c>
      <c r="O162" t="s">
        <v>59</v>
      </c>
      <c r="P162" t="s">
        <v>29</v>
      </c>
      <c r="Q162">
        <v>0</v>
      </c>
    </row>
    <row r="163" spans="1:17" x14ac:dyDescent="0.25">
      <c r="A163">
        <v>162</v>
      </c>
      <c r="B163" t="s">
        <v>1264</v>
      </c>
      <c r="C163" s="2">
        <v>28223</v>
      </c>
      <c r="D163">
        <v>49</v>
      </c>
      <c r="E163" t="s">
        <v>1265</v>
      </c>
      <c r="F163" s="1" t="s">
        <v>264</v>
      </c>
      <c r="G163" t="s">
        <v>265</v>
      </c>
      <c r="H163" t="s">
        <v>65</v>
      </c>
      <c r="I163" s="1" t="s">
        <v>1266</v>
      </c>
      <c r="J163" s="1" t="s">
        <v>1267</v>
      </c>
      <c r="K163" t="s">
        <v>1268</v>
      </c>
      <c r="L163" t="s">
        <v>1269</v>
      </c>
      <c r="M163" t="s">
        <v>33</v>
      </c>
      <c r="N163" t="s">
        <v>49</v>
      </c>
      <c r="O163" t="s">
        <v>50</v>
      </c>
      <c r="P163" t="s">
        <v>23</v>
      </c>
      <c r="Q163">
        <v>1</v>
      </c>
    </row>
    <row r="164" spans="1:17" x14ac:dyDescent="0.25">
      <c r="A164">
        <v>163</v>
      </c>
      <c r="B164" t="s">
        <v>1270</v>
      </c>
      <c r="C164" s="2">
        <v>27202</v>
      </c>
      <c r="D164">
        <v>52</v>
      </c>
      <c r="E164" t="s">
        <v>1271</v>
      </c>
      <c r="F164" s="1" t="s">
        <v>278</v>
      </c>
      <c r="G164" t="s">
        <v>279</v>
      </c>
      <c r="H164" t="s">
        <v>26</v>
      </c>
      <c r="I164" s="1" t="s">
        <v>1272</v>
      </c>
      <c r="J164" s="1" t="s">
        <v>1273</v>
      </c>
      <c r="K164" t="s">
        <v>1274</v>
      </c>
      <c r="L164" t="s">
        <v>1275</v>
      </c>
      <c r="M164" t="s">
        <v>33</v>
      </c>
      <c r="N164" t="s">
        <v>193</v>
      </c>
      <c r="O164" t="s">
        <v>59</v>
      </c>
      <c r="P164" t="s">
        <v>23</v>
      </c>
      <c r="Q164">
        <v>2</v>
      </c>
    </row>
    <row r="165" spans="1:17" x14ac:dyDescent="0.25">
      <c r="A165">
        <v>164</v>
      </c>
      <c r="B165" t="s">
        <v>1276</v>
      </c>
      <c r="C165" s="2">
        <v>22936</v>
      </c>
      <c r="D165">
        <v>64</v>
      </c>
      <c r="E165" t="s">
        <v>1277</v>
      </c>
      <c r="F165" s="1" t="s">
        <v>272</v>
      </c>
      <c r="G165" t="s">
        <v>273</v>
      </c>
      <c r="H165" t="s">
        <v>180</v>
      </c>
      <c r="I165" s="1" t="s">
        <v>1278</v>
      </c>
      <c r="J165" s="1" t="s">
        <v>1279</v>
      </c>
      <c r="K165" t="s">
        <v>1280</v>
      </c>
      <c r="L165" t="s">
        <v>1281</v>
      </c>
      <c r="M165" t="s">
        <v>33</v>
      </c>
      <c r="N165" t="s">
        <v>21</v>
      </c>
      <c r="O165" t="s">
        <v>40</v>
      </c>
      <c r="P165" t="s">
        <v>29</v>
      </c>
      <c r="Q165">
        <v>0</v>
      </c>
    </row>
    <row r="166" spans="1:17" x14ac:dyDescent="0.25">
      <c r="A166">
        <v>165</v>
      </c>
      <c r="B166" t="s">
        <v>1282</v>
      </c>
      <c r="C166" s="2">
        <v>36593</v>
      </c>
      <c r="D166">
        <v>26</v>
      </c>
      <c r="E166" t="s">
        <v>1283</v>
      </c>
      <c r="F166" s="1" t="s">
        <v>36</v>
      </c>
      <c r="G166" t="s">
        <v>37</v>
      </c>
      <c r="H166" t="s">
        <v>38</v>
      </c>
      <c r="I166" s="1" t="s">
        <v>1284</v>
      </c>
      <c r="J166" s="1" t="s">
        <v>1285</v>
      </c>
      <c r="K166" t="s">
        <v>1286</v>
      </c>
      <c r="L166" t="s">
        <v>1287</v>
      </c>
      <c r="M166" t="s">
        <v>27</v>
      </c>
      <c r="N166" t="s">
        <v>78</v>
      </c>
      <c r="O166" t="s">
        <v>35</v>
      </c>
      <c r="P166" t="s">
        <v>23</v>
      </c>
      <c r="Q166">
        <v>1</v>
      </c>
    </row>
    <row r="167" spans="1:17" x14ac:dyDescent="0.25">
      <c r="A167">
        <v>166</v>
      </c>
      <c r="B167" t="s">
        <v>1288</v>
      </c>
      <c r="C167" s="2">
        <v>30575</v>
      </c>
      <c r="D167">
        <v>43</v>
      </c>
      <c r="E167" t="s">
        <v>1289</v>
      </c>
      <c r="F167" s="1" t="s">
        <v>127</v>
      </c>
      <c r="G167" t="s">
        <v>128</v>
      </c>
      <c r="H167" t="s">
        <v>96</v>
      </c>
      <c r="I167" s="1" t="s">
        <v>1290</v>
      </c>
      <c r="J167" s="1" t="s">
        <v>1291</v>
      </c>
      <c r="K167" t="s">
        <v>1292</v>
      </c>
      <c r="L167" t="s">
        <v>1293</v>
      </c>
      <c r="M167" t="s">
        <v>33</v>
      </c>
      <c r="N167" t="s">
        <v>88</v>
      </c>
      <c r="O167" t="s">
        <v>22</v>
      </c>
      <c r="P167" t="s">
        <v>23</v>
      </c>
      <c r="Q167">
        <v>2</v>
      </c>
    </row>
    <row r="168" spans="1:17" x14ac:dyDescent="0.25">
      <c r="A168">
        <v>167</v>
      </c>
      <c r="B168" t="s">
        <v>1294</v>
      </c>
      <c r="C168" s="2">
        <v>34751</v>
      </c>
      <c r="D168">
        <v>31</v>
      </c>
      <c r="E168" t="s">
        <v>1295</v>
      </c>
      <c r="F168" s="1" t="s">
        <v>60</v>
      </c>
      <c r="G168" t="s">
        <v>61</v>
      </c>
      <c r="H168" t="s">
        <v>62</v>
      </c>
      <c r="I168" s="1" t="s">
        <v>1296</v>
      </c>
      <c r="J168" s="1" t="s">
        <v>1297</v>
      </c>
      <c r="K168" t="s">
        <v>1298</v>
      </c>
      <c r="L168" t="s">
        <v>1299</v>
      </c>
      <c r="M168" t="s">
        <v>20</v>
      </c>
      <c r="N168" t="s">
        <v>34</v>
      </c>
      <c r="O168" t="s">
        <v>22</v>
      </c>
      <c r="P168" t="s">
        <v>29</v>
      </c>
      <c r="Q168">
        <v>0</v>
      </c>
    </row>
    <row r="169" spans="1:17" x14ac:dyDescent="0.25">
      <c r="A169">
        <v>168</v>
      </c>
      <c r="B169" t="s">
        <v>1300</v>
      </c>
      <c r="C169" s="2">
        <v>29694</v>
      </c>
      <c r="D169">
        <v>45</v>
      </c>
      <c r="E169" t="s">
        <v>298</v>
      </c>
      <c r="F169" s="1" t="s">
        <v>41</v>
      </c>
      <c r="G169" t="s">
        <v>42</v>
      </c>
      <c r="H169" t="s">
        <v>43</v>
      </c>
      <c r="I169" s="1" t="s">
        <v>1301</v>
      </c>
      <c r="J169" s="1" t="s">
        <v>1302</v>
      </c>
      <c r="K169" t="s">
        <v>1303</v>
      </c>
      <c r="L169" t="s">
        <v>1304</v>
      </c>
      <c r="M169" t="s">
        <v>27</v>
      </c>
      <c r="N169" t="s">
        <v>212</v>
      </c>
      <c r="O169" t="s">
        <v>50</v>
      </c>
      <c r="P169" t="s">
        <v>23</v>
      </c>
      <c r="Q169">
        <v>1</v>
      </c>
    </row>
    <row r="170" spans="1:17" x14ac:dyDescent="0.25">
      <c r="A170">
        <v>169</v>
      </c>
      <c r="B170" t="s">
        <v>1305</v>
      </c>
      <c r="C170" s="2">
        <v>28460</v>
      </c>
      <c r="D170">
        <v>49</v>
      </c>
      <c r="E170" t="s">
        <v>1306</v>
      </c>
      <c r="F170" s="1" t="s">
        <v>115</v>
      </c>
      <c r="G170" t="s">
        <v>116</v>
      </c>
      <c r="H170" t="s">
        <v>43</v>
      </c>
      <c r="I170" s="1" t="s">
        <v>1307</v>
      </c>
      <c r="J170" s="1" t="s">
        <v>1308</v>
      </c>
      <c r="K170" t="s">
        <v>1309</v>
      </c>
      <c r="L170" t="s">
        <v>1310</v>
      </c>
      <c r="M170" t="s">
        <v>48</v>
      </c>
      <c r="N170" t="s">
        <v>99</v>
      </c>
      <c r="O170" t="s">
        <v>40</v>
      </c>
      <c r="P170" t="s">
        <v>23</v>
      </c>
      <c r="Q170">
        <v>1</v>
      </c>
    </row>
    <row r="171" spans="1:17" x14ac:dyDescent="0.25">
      <c r="A171">
        <v>170</v>
      </c>
      <c r="B171" t="s">
        <v>1311</v>
      </c>
      <c r="C171" s="2">
        <v>39581</v>
      </c>
      <c r="D171">
        <v>18</v>
      </c>
      <c r="E171" t="s">
        <v>1312</v>
      </c>
      <c r="F171" s="1" t="s">
        <v>234</v>
      </c>
      <c r="G171" t="s">
        <v>235</v>
      </c>
      <c r="H171" t="s">
        <v>236</v>
      </c>
      <c r="I171" s="1" t="s">
        <v>1313</v>
      </c>
      <c r="J171" s="1" t="s">
        <v>1314</v>
      </c>
      <c r="K171" t="s">
        <v>1315</v>
      </c>
      <c r="L171" t="s">
        <v>1316</v>
      </c>
      <c r="M171" t="s">
        <v>27</v>
      </c>
      <c r="N171" t="s">
        <v>67</v>
      </c>
      <c r="O171" t="s">
        <v>50</v>
      </c>
      <c r="P171" t="s">
        <v>23</v>
      </c>
      <c r="Q171">
        <v>2</v>
      </c>
    </row>
    <row r="172" spans="1:17" x14ac:dyDescent="0.25">
      <c r="A172">
        <v>171</v>
      </c>
      <c r="B172" t="s">
        <v>1317</v>
      </c>
      <c r="C172" s="2">
        <v>38537</v>
      </c>
      <c r="D172">
        <v>21</v>
      </c>
      <c r="E172" t="s">
        <v>1318</v>
      </c>
      <c r="F172" s="1" t="s">
        <v>226</v>
      </c>
      <c r="G172" t="s">
        <v>227</v>
      </c>
      <c r="H172" t="s">
        <v>113</v>
      </c>
      <c r="I172" s="1" t="s">
        <v>1319</v>
      </c>
      <c r="J172" s="1" t="s">
        <v>1320</v>
      </c>
      <c r="K172" t="s">
        <v>1321</v>
      </c>
      <c r="L172" t="s">
        <v>1322</v>
      </c>
      <c r="M172" t="s">
        <v>48</v>
      </c>
      <c r="N172" t="s">
        <v>72</v>
      </c>
      <c r="O172" t="s">
        <v>50</v>
      </c>
      <c r="P172" t="s">
        <v>23</v>
      </c>
      <c r="Q172">
        <v>1</v>
      </c>
    </row>
    <row r="173" spans="1:17" x14ac:dyDescent="0.25">
      <c r="A173">
        <v>172</v>
      </c>
      <c r="B173" t="s">
        <v>1323</v>
      </c>
      <c r="C173" s="2">
        <v>23646</v>
      </c>
      <c r="D173">
        <v>62</v>
      </c>
      <c r="E173" t="s">
        <v>1324</v>
      </c>
      <c r="F173" s="1" t="s">
        <v>191</v>
      </c>
      <c r="G173" t="s">
        <v>192</v>
      </c>
      <c r="H173" t="s">
        <v>126</v>
      </c>
      <c r="I173" s="1" t="s">
        <v>1325</v>
      </c>
      <c r="J173" s="1" t="s">
        <v>1326</v>
      </c>
      <c r="K173" t="s">
        <v>1327</v>
      </c>
      <c r="L173" t="s">
        <v>1328</v>
      </c>
      <c r="M173" t="s">
        <v>27</v>
      </c>
      <c r="N173" t="s">
        <v>49</v>
      </c>
      <c r="O173" t="s">
        <v>40</v>
      </c>
      <c r="P173" t="s">
        <v>23</v>
      </c>
      <c r="Q173">
        <v>3</v>
      </c>
    </row>
    <row r="174" spans="1:17" x14ac:dyDescent="0.25">
      <c r="A174">
        <v>173</v>
      </c>
      <c r="B174" t="s">
        <v>1329</v>
      </c>
      <c r="C174" s="2">
        <v>24240</v>
      </c>
      <c r="D174">
        <v>60</v>
      </c>
      <c r="E174" t="s">
        <v>1330</v>
      </c>
      <c r="F174" s="1" t="s">
        <v>274</v>
      </c>
      <c r="G174" t="s">
        <v>275</v>
      </c>
      <c r="H174" t="s">
        <v>65</v>
      </c>
      <c r="I174" s="1" t="s">
        <v>1331</v>
      </c>
      <c r="J174" s="1" t="s">
        <v>1332</v>
      </c>
      <c r="K174" t="s">
        <v>1333</v>
      </c>
      <c r="L174" t="s">
        <v>1334</v>
      </c>
      <c r="M174" t="s">
        <v>27</v>
      </c>
      <c r="N174" t="s">
        <v>193</v>
      </c>
      <c r="O174" t="s">
        <v>22</v>
      </c>
      <c r="P174" t="s">
        <v>29</v>
      </c>
      <c r="Q174">
        <v>0</v>
      </c>
    </row>
    <row r="175" spans="1:17" x14ac:dyDescent="0.25">
      <c r="A175">
        <v>174</v>
      </c>
      <c r="B175" t="s">
        <v>1335</v>
      </c>
      <c r="C175" s="2">
        <v>26061</v>
      </c>
      <c r="D175">
        <v>55</v>
      </c>
      <c r="E175" t="s">
        <v>1336</v>
      </c>
      <c r="F175" s="1" t="s">
        <v>144</v>
      </c>
      <c r="G175" t="s">
        <v>145</v>
      </c>
      <c r="H175" t="s">
        <v>119</v>
      </c>
      <c r="I175" s="1" t="s">
        <v>1337</v>
      </c>
      <c r="J175" s="1" t="s">
        <v>1338</v>
      </c>
      <c r="K175" t="s">
        <v>1339</v>
      </c>
      <c r="L175" t="s">
        <v>1340</v>
      </c>
      <c r="M175" t="s">
        <v>33</v>
      </c>
      <c r="N175" t="s">
        <v>67</v>
      </c>
      <c r="O175" t="s">
        <v>59</v>
      </c>
      <c r="P175" t="s">
        <v>23</v>
      </c>
      <c r="Q175">
        <v>3</v>
      </c>
    </row>
    <row r="176" spans="1:17" x14ac:dyDescent="0.25">
      <c r="A176">
        <v>175</v>
      </c>
      <c r="B176" t="s">
        <v>1341</v>
      </c>
      <c r="C176" s="2">
        <v>28778</v>
      </c>
      <c r="D176">
        <v>48</v>
      </c>
      <c r="E176" t="s">
        <v>1342</v>
      </c>
      <c r="F176" s="1" t="s">
        <v>185</v>
      </c>
      <c r="G176" t="s">
        <v>186</v>
      </c>
      <c r="H176" t="s">
        <v>43</v>
      </c>
      <c r="I176" s="1" t="s">
        <v>1343</v>
      </c>
      <c r="J176" s="1" t="s">
        <v>1344</v>
      </c>
      <c r="K176" t="s">
        <v>1345</v>
      </c>
      <c r="L176" t="s">
        <v>1346</v>
      </c>
      <c r="M176" t="s">
        <v>48</v>
      </c>
      <c r="N176" t="s">
        <v>66</v>
      </c>
      <c r="O176" t="s">
        <v>35</v>
      </c>
      <c r="P176" t="s">
        <v>29</v>
      </c>
      <c r="Q176">
        <v>0</v>
      </c>
    </row>
    <row r="177" spans="1:17" x14ac:dyDescent="0.25">
      <c r="A177">
        <v>176</v>
      </c>
      <c r="B177" t="s">
        <v>1347</v>
      </c>
      <c r="C177" s="2">
        <v>22314</v>
      </c>
      <c r="D177">
        <v>65</v>
      </c>
      <c r="E177" t="s">
        <v>1348</v>
      </c>
      <c r="F177" s="1" t="s">
        <v>24</v>
      </c>
      <c r="G177" t="s">
        <v>25</v>
      </c>
      <c r="H177" t="s">
        <v>26</v>
      </c>
      <c r="I177" s="1" t="s">
        <v>1349</v>
      </c>
      <c r="J177" s="1" t="s">
        <v>1350</v>
      </c>
      <c r="K177" t="s">
        <v>1351</v>
      </c>
      <c r="L177" t="s">
        <v>1352</v>
      </c>
      <c r="M177" t="s">
        <v>48</v>
      </c>
      <c r="N177" t="s">
        <v>58</v>
      </c>
      <c r="O177" t="s">
        <v>50</v>
      </c>
      <c r="P177" t="s">
        <v>23</v>
      </c>
      <c r="Q177">
        <v>2</v>
      </c>
    </row>
    <row r="178" spans="1:17" x14ac:dyDescent="0.25">
      <c r="A178">
        <v>177</v>
      </c>
      <c r="B178" t="s">
        <v>1353</v>
      </c>
      <c r="C178" s="2">
        <v>39167</v>
      </c>
      <c r="D178">
        <v>19</v>
      </c>
      <c r="E178" t="s">
        <v>1354</v>
      </c>
      <c r="F178" s="1" t="s">
        <v>284</v>
      </c>
      <c r="G178" t="s">
        <v>285</v>
      </c>
      <c r="H178" t="s">
        <v>104</v>
      </c>
      <c r="I178" s="1" t="s">
        <v>1355</v>
      </c>
      <c r="J178" s="1" t="s">
        <v>1356</v>
      </c>
      <c r="K178" t="s">
        <v>1357</v>
      </c>
      <c r="L178" t="s">
        <v>1358</v>
      </c>
      <c r="M178" t="s">
        <v>27</v>
      </c>
      <c r="N178" t="s">
        <v>58</v>
      </c>
      <c r="O178" t="s">
        <v>40</v>
      </c>
      <c r="P178" t="s">
        <v>29</v>
      </c>
      <c r="Q178">
        <v>0</v>
      </c>
    </row>
    <row r="179" spans="1:17" x14ac:dyDescent="0.25">
      <c r="A179">
        <v>178</v>
      </c>
      <c r="B179" t="s">
        <v>1359</v>
      </c>
      <c r="C179" s="2">
        <v>28892</v>
      </c>
      <c r="D179">
        <v>47</v>
      </c>
      <c r="E179" t="s">
        <v>1360</v>
      </c>
      <c r="F179" s="1" t="s">
        <v>111</v>
      </c>
      <c r="G179" t="s">
        <v>112</v>
      </c>
      <c r="H179" t="s">
        <v>113</v>
      </c>
      <c r="I179" s="1" t="s">
        <v>1361</v>
      </c>
      <c r="J179" s="1" t="s">
        <v>1362</v>
      </c>
      <c r="K179" t="s">
        <v>1363</v>
      </c>
      <c r="L179" t="s">
        <v>1364</v>
      </c>
      <c r="M179" t="s">
        <v>33</v>
      </c>
      <c r="N179" t="s">
        <v>72</v>
      </c>
      <c r="O179" t="s">
        <v>22</v>
      </c>
      <c r="P179" t="s">
        <v>29</v>
      </c>
      <c r="Q179">
        <v>0</v>
      </c>
    </row>
    <row r="180" spans="1:17" x14ac:dyDescent="0.25">
      <c r="A180">
        <v>179</v>
      </c>
      <c r="B180" t="s">
        <v>1365</v>
      </c>
      <c r="C180" s="2">
        <v>31479</v>
      </c>
      <c r="D180">
        <v>40</v>
      </c>
      <c r="E180" t="s">
        <v>1366</v>
      </c>
      <c r="F180" s="1" t="s">
        <v>178</v>
      </c>
      <c r="G180" t="s">
        <v>179</v>
      </c>
      <c r="H180" t="s">
        <v>180</v>
      </c>
      <c r="I180" s="1" t="s">
        <v>1367</v>
      </c>
      <c r="J180" s="1" t="s">
        <v>1368</v>
      </c>
      <c r="K180" t="s">
        <v>1369</v>
      </c>
      <c r="L180" t="s">
        <v>1370</v>
      </c>
      <c r="M180" t="s">
        <v>27</v>
      </c>
      <c r="N180" t="s">
        <v>88</v>
      </c>
      <c r="O180" t="s">
        <v>35</v>
      </c>
      <c r="P180" t="s">
        <v>29</v>
      </c>
      <c r="Q180">
        <v>0</v>
      </c>
    </row>
    <row r="181" spans="1:17" x14ac:dyDescent="0.25">
      <c r="A181">
        <v>180</v>
      </c>
      <c r="B181" t="s">
        <v>1371</v>
      </c>
      <c r="C181" s="2">
        <v>39670</v>
      </c>
      <c r="D181">
        <v>18</v>
      </c>
      <c r="E181" t="s">
        <v>1372</v>
      </c>
      <c r="F181" s="1" t="s">
        <v>153</v>
      </c>
      <c r="G181" t="s">
        <v>154</v>
      </c>
      <c r="H181" t="s">
        <v>104</v>
      </c>
      <c r="I181" s="1" t="s">
        <v>1373</v>
      </c>
      <c r="J181" s="1" t="s">
        <v>1374</v>
      </c>
      <c r="K181" t="s">
        <v>1375</v>
      </c>
      <c r="L181" t="s">
        <v>1376</v>
      </c>
      <c r="M181" t="s">
        <v>48</v>
      </c>
      <c r="N181" t="s">
        <v>150</v>
      </c>
      <c r="O181" t="s">
        <v>35</v>
      </c>
      <c r="P181" t="s">
        <v>29</v>
      </c>
      <c r="Q181">
        <v>0</v>
      </c>
    </row>
    <row r="182" spans="1:17" x14ac:dyDescent="0.25">
      <c r="A182">
        <v>181</v>
      </c>
      <c r="B182" t="s">
        <v>1377</v>
      </c>
      <c r="C182" s="2">
        <v>26079</v>
      </c>
      <c r="D182">
        <v>55</v>
      </c>
      <c r="E182" t="s">
        <v>1378</v>
      </c>
      <c r="F182" s="1" t="s">
        <v>245</v>
      </c>
      <c r="G182" t="s">
        <v>246</v>
      </c>
      <c r="H182" t="s">
        <v>96</v>
      </c>
      <c r="I182" s="1" t="s">
        <v>1379</v>
      </c>
      <c r="J182" s="1" t="s">
        <v>1380</v>
      </c>
      <c r="K182" t="s">
        <v>1381</v>
      </c>
      <c r="L182" t="s">
        <v>1382</v>
      </c>
      <c r="M182" t="s">
        <v>27</v>
      </c>
      <c r="N182" t="s">
        <v>78</v>
      </c>
      <c r="O182" t="s">
        <v>50</v>
      </c>
      <c r="P182" t="s">
        <v>23</v>
      </c>
      <c r="Q182">
        <v>2</v>
      </c>
    </row>
    <row r="183" spans="1:17" x14ac:dyDescent="0.25">
      <c r="A183">
        <v>182</v>
      </c>
      <c r="B183" t="s">
        <v>1383</v>
      </c>
      <c r="C183" s="2">
        <v>30819</v>
      </c>
      <c r="D183">
        <v>42</v>
      </c>
      <c r="E183" t="s">
        <v>1384</v>
      </c>
      <c r="F183" s="1" t="s">
        <v>55</v>
      </c>
      <c r="G183" t="s">
        <v>56</v>
      </c>
      <c r="H183" t="s">
        <v>57</v>
      </c>
      <c r="I183" s="1" t="s">
        <v>1385</v>
      </c>
      <c r="J183" s="1" t="s">
        <v>1386</v>
      </c>
      <c r="K183" t="s">
        <v>1387</v>
      </c>
      <c r="L183" t="s">
        <v>1388</v>
      </c>
      <c r="M183" t="s">
        <v>33</v>
      </c>
      <c r="N183" t="s">
        <v>72</v>
      </c>
      <c r="O183" t="s">
        <v>50</v>
      </c>
      <c r="P183" t="s">
        <v>23</v>
      </c>
      <c r="Q183">
        <v>5</v>
      </c>
    </row>
    <row r="184" spans="1:17" x14ac:dyDescent="0.25">
      <c r="A184">
        <v>183</v>
      </c>
      <c r="B184" t="s">
        <v>1389</v>
      </c>
      <c r="C184" s="2">
        <v>25193</v>
      </c>
      <c r="D184">
        <v>58</v>
      </c>
      <c r="E184" t="s">
        <v>1390</v>
      </c>
      <c r="F184" s="1" t="s">
        <v>97</v>
      </c>
      <c r="G184" t="s">
        <v>98</v>
      </c>
      <c r="H184" t="s">
        <v>57</v>
      </c>
      <c r="I184" s="1" t="s">
        <v>1391</v>
      </c>
      <c r="J184" s="1" t="s">
        <v>1392</v>
      </c>
      <c r="K184" t="s">
        <v>1393</v>
      </c>
      <c r="L184" t="s">
        <v>1394</v>
      </c>
      <c r="M184" t="s">
        <v>27</v>
      </c>
      <c r="N184" t="s">
        <v>150</v>
      </c>
      <c r="O184" t="s">
        <v>59</v>
      </c>
      <c r="P184" t="s">
        <v>29</v>
      </c>
      <c r="Q184">
        <v>0</v>
      </c>
    </row>
    <row r="185" spans="1:17" x14ac:dyDescent="0.25">
      <c r="A185">
        <v>184</v>
      </c>
      <c r="B185" t="s">
        <v>1395</v>
      </c>
      <c r="C185" s="2">
        <v>38811</v>
      </c>
      <c r="D185">
        <v>20</v>
      </c>
      <c r="E185" t="s">
        <v>1396</v>
      </c>
      <c r="F185" s="1" t="s">
        <v>75</v>
      </c>
      <c r="G185" t="s">
        <v>76</v>
      </c>
      <c r="H185" t="s">
        <v>77</v>
      </c>
      <c r="I185" s="1" t="s">
        <v>1397</v>
      </c>
      <c r="J185" s="1" t="s">
        <v>1398</v>
      </c>
      <c r="K185" t="s">
        <v>1399</v>
      </c>
      <c r="L185" t="s">
        <v>1400</v>
      </c>
      <c r="M185" t="s">
        <v>33</v>
      </c>
      <c r="N185" t="s">
        <v>58</v>
      </c>
      <c r="O185" t="s">
        <v>22</v>
      </c>
      <c r="P185" t="s">
        <v>29</v>
      </c>
      <c r="Q185">
        <v>0</v>
      </c>
    </row>
    <row r="186" spans="1:17" x14ac:dyDescent="0.25">
      <c r="A186">
        <v>185</v>
      </c>
      <c r="B186" t="s">
        <v>1401</v>
      </c>
      <c r="C186" s="2">
        <v>37172</v>
      </c>
      <c r="D186">
        <v>25</v>
      </c>
      <c r="E186" t="s">
        <v>1402</v>
      </c>
      <c r="F186" s="1" t="s">
        <v>264</v>
      </c>
      <c r="G186" t="s">
        <v>265</v>
      </c>
      <c r="H186" t="s">
        <v>65</v>
      </c>
      <c r="I186" s="1" t="s">
        <v>1403</v>
      </c>
      <c r="J186" s="1" t="s">
        <v>1404</v>
      </c>
      <c r="K186" t="s">
        <v>1405</v>
      </c>
      <c r="L186" t="s">
        <v>1406</v>
      </c>
      <c r="M186" t="s">
        <v>27</v>
      </c>
      <c r="N186" t="s">
        <v>114</v>
      </c>
      <c r="O186" t="s">
        <v>35</v>
      </c>
      <c r="P186" t="s">
        <v>23</v>
      </c>
      <c r="Q186">
        <v>1</v>
      </c>
    </row>
    <row r="187" spans="1:17" x14ac:dyDescent="0.25">
      <c r="A187">
        <v>186</v>
      </c>
      <c r="B187" t="s">
        <v>1407</v>
      </c>
      <c r="C187" s="2">
        <v>31799</v>
      </c>
      <c r="D187">
        <v>39</v>
      </c>
      <c r="E187" t="s">
        <v>1408</v>
      </c>
      <c r="F187" s="1" t="s">
        <v>36</v>
      </c>
      <c r="G187" t="s">
        <v>37</v>
      </c>
      <c r="H187" t="s">
        <v>38</v>
      </c>
      <c r="I187" s="1" t="s">
        <v>1409</v>
      </c>
      <c r="J187" s="1" t="s">
        <v>1410</v>
      </c>
      <c r="K187" t="s">
        <v>1411</v>
      </c>
      <c r="L187" t="s">
        <v>1412</v>
      </c>
      <c r="M187" t="s">
        <v>27</v>
      </c>
      <c r="N187" t="s">
        <v>72</v>
      </c>
      <c r="O187" t="s">
        <v>50</v>
      </c>
      <c r="P187" t="s">
        <v>23</v>
      </c>
      <c r="Q187">
        <v>4</v>
      </c>
    </row>
    <row r="188" spans="1:17" x14ac:dyDescent="0.25">
      <c r="A188">
        <v>187</v>
      </c>
      <c r="B188" t="s">
        <v>1413</v>
      </c>
      <c r="C188" s="2">
        <v>31656</v>
      </c>
      <c r="D188">
        <v>40</v>
      </c>
      <c r="E188" t="s">
        <v>1414</v>
      </c>
      <c r="F188" s="1" t="s">
        <v>138</v>
      </c>
      <c r="G188" t="s">
        <v>139</v>
      </c>
      <c r="H188" t="s">
        <v>47</v>
      </c>
      <c r="I188" s="1" t="s">
        <v>1415</v>
      </c>
      <c r="J188" s="1" t="s">
        <v>1416</v>
      </c>
      <c r="K188" t="s">
        <v>1417</v>
      </c>
      <c r="L188" t="s">
        <v>1418</v>
      </c>
      <c r="M188" t="s">
        <v>27</v>
      </c>
      <c r="N188" t="s">
        <v>78</v>
      </c>
      <c r="O188" t="s">
        <v>35</v>
      </c>
      <c r="P188" t="s">
        <v>29</v>
      </c>
      <c r="Q188">
        <v>0</v>
      </c>
    </row>
    <row r="189" spans="1:17" x14ac:dyDescent="0.25">
      <c r="A189">
        <v>188</v>
      </c>
      <c r="B189" t="s">
        <v>1419</v>
      </c>
      <c r="C189" s="2">
        <v>28539</v>
      </c>
      <c r="D189">
        <v>48</v>
      </c>
      <c r="E189" t="s">
        <v>1420</v>
      </c>
      <c r="F189" s="1" t="s">
        <v>155</v>
      </c>
      <c r="G189" t="s">
        <v>156</v>
      </c>
      <c r="H189" t="s">
        <v>126</v>
      </c>
      <c r="I189" s="1" t="s">
        <v>1421</v>
      </c>
      <c r="J189" s="1" t="s">
        <v>1422</v>
      </c>
      <c r="K189" t="s">
        <v>1423</v>
      </c>
      <c r="L189" t="s">
        <v>1424</v>
      </c>
      <c r="M189" t="s">
        <v>33</v>
      </c>
      <c r="N189" t="s">
        <v>49</v>
      </c>
      <c r="O189" t="s">
        <v>22</v>
      </c>
      <c r="P189" t="s">
        <v>29</v>
      </c>
      <c r="Q189">
        <v>0</v>
      </c>
    </row>
    <row r="190" spans="1:17" x14ac:dyDescent="0.25">
      <c r="A190">
        <v>189</v>
      </c>
      <c r="B190" t="s">
        <v>1425</v>
      </c>
      <c r="C190" s="2">
        <v>38729</v>
      </c>
      <c r="D190">
        <v>20</v>
      </c>
      <c r="E190" t="s">
        <v>1426</v>
      </c>
      <c r="F190" s="1" t="s">
        <v>115</v>
      </c>
      <c r="G190" t="s">
        <v>116</v>
      </c>
      <c r="H190" t="s">
        <v>43</v>
      </c>
      <c r="I190" s="1" t="s">
        <v>1427</v>
      </c>
      <c r="J190" s="1" t="s">
        <v>1428</v>
      </c>
      <c r="K190" t="s">
        <v>1429</v>
      </c>
      <c r="L190" t="s">
        <v>1430</v>
      </c>
      <c r="M190" t="s">
        <v>27</v>
      </c>
      <c r="N190" t="s">
        <v>34</v>
      </c>
      <c r="O190" t="s">
        <v>50</v>
      </c>
      <c r="P190" t="s">
        <v>23</v>
      </c>
      <c r="Q190">
        <v>1</v>
      </c>
    </row>
    <row r="191" spans="1:17" x14ac:dyDescent="0.25">
      <c r="A191">
        <v>190</v>
      </c>
      <c r="B191" t="s">
        <v>1431</v>
      </c>
      <c r="C191" s="2">
        <v>34146</v>
      </c>
      <c r="D191">
        <v>33</v>
      </c>
      <c r="E191" t="s">
        <v>1432</v>
      </c>
      <c r="F191" s="1" t="s">
        <v>17</v>
      </c>
      <c r="G191" t="s">
        <v>18</v>
      </c>
      <c r="H191" t="s">
        <v>19</v>
      </c>
      <c r="I191" s="1" t="s">
        <v>1433</v>
      </c>
      <c r="J191" s="1" t="s">
        <v>1434</v>
      </c>
      <c r="K191" t="s">
        <v>1435</v>
      </c>
      <c r="L191" t="s">
        <v>1436</v>
      </c>
      <c r="M191" t="s">
        <v>27</v>
      </c>
      <c r="N191" t="s">
        <v>114</v>
      </c>
      <c r="O191" t="s">
        <v>40</v>
      </c>
      <c r="P191" t="s">
        <v>29</v>
      </c>
      <c r="Q191">
        <v>0</v>
      </c>
    </row>
    <row r="192" spans="1:17" x14ac:dyDescent="0.25">
      <c r="A192">
        <v>191</v>
      </c>
      <c r="B192" t="s">
        <v>1437</v>
      </c>
      <c r="C192" s="2">
        <v>36102</v>
      </c>
      <c r="D192">
        <v>28</v>
      </c>
      <c r="E192" t="s">
        <v>1438</v>
      </c>
      <c r="F192" s="1" t="s">
        <v>206</v>
      </c>
      <c r="G192" t="s">
        <v>207</v>
      </c>
      <c r="H192" t="s">
        <v>53</v>
      </c>
      <c r="I192" s="1" t="s">
        <v>1439</v>
      </c>
      <c r="J192" s="1" t="s">
        <v>1440</v>
      </c>
      <c r="K192" t="s">
        <v>1441</v>
      </c>
      <c r="L192" t="s">
        <v>1442</v>
      </c>
      <c r="M192" t="s">
        <v>27</v>
      </c>
      <c r="N192" t="s">
        <v>99</v>
      </c>
      <c r="O192" t="s">
        <v>50</v>
      </c>
      <c r="P192" t="s">
        <v>29</v>
      </c>
      <c r="Q192">
        <v>0</v>
      </c>
    </row>
    <row r="193" spans="1:17" x14ac:dyDescent="0.25">
      <c r="A193">
        <v>192</v>
      </c>
      <c r="B193" t="s">
        <v>1443</v>
      </c>
      <c r="C193" s="2">
        <v>29788</v>
      </c>
      <c r="D193">
        <v>45</v>
      </c>
      <c r="E193" t="s">
        <v>1444</v>
      </c>
      <c r="F193" s="1" t="s">
        <v>264</v>
      </c>
      <c r="G193" t="s">
        <v>265</v>
      </c>
      <c r="H193" t="s">
        <v>65</v>
      </c>
      <c r="I193" s="1" t="s">
        <v>1445</v>
      </c>
      <c r="J193" s="1" t="s">
        <v>1446</v>
      </c>
      <c r="K193" t="s">
        <v>1447</v>
      </c>
      <c r="L193" t="s">
        <v>1448</v>
      </c>
      <c r="M193" t="s">
        <v>27</v>
      </c>
      <c r="N193" t="s">
        <v>66</v>
      </c>
      <c r="O193" t="s">
        <v>59</v>
      </c>
      <c r="P193" t="s">
        <v>23</v>
      </c>
      <c r="Q193">
        <v>6</v>
      </c>
    </row>
    <row r="194" spans="1:17" x14ac:dyDescent="0.25">
      <c r="A194">
        <v>193</v>
      </c>
      <c r="B194" t="s">
        <v>1449</v>
      </c>
      <c r="C194" s="2">
        <v>26704</v>
      </c>
      <c r="D194">
        <v>53</v>
      </c>
      <c r="E194" t="s">
        <v>1450</v>
      </c>
      <c r="F194" s="1" t="s">
        <v>185</v>
      </c>
      <c r="G194" t="s">
        <v>186</v>
      </c>
      <c r="H194" t="s">
        <v>43</v>
      </c>
      <c r="I194" s="1" t="s">
        <v>1451</v>
      </c>
      <c r="J194" s="1" t="s">
        <v>1452</v>
      </c>
      <c r="K194" t="s">
        <v>1453</v>
      </c>
      <c r="L194" t="s">
        <v>1454</v>
      </c>
      <c r="M194" t="s">
        <v>48</v>
      </c>
      <c r="N194" t="s">
        <v>106</v>
      </c>
      <c r="O194" t="s">
        <v>59</v>
      </c>
      <c r="P194" t="s">
        <v>23</v>
      </c>
      <c r="Q194">
        <v>2</v>
      </c>
    </row>
    <row r="195" spans="1:17" x14ac:dyDescent="0.25">
      <c r="A195">
        <v>194</v>
      </c>
      <c r="B195" t="s">
        <v>1455</v>
      </c>
      <c r="C195" s="2">
        <v>33869</v>
      </c>
      <c r="D195">
        <v>34</v>
      </c>
      <c r="E195" t="s">
        <v>1456</v>
      </c>
      <c r="F195" s="1" t="s">
        <v>138</v>
      </c>
      <c r="G195" t="s">
        <v>139</v>
      </c>
      <c r="H195" t="s">
        <v>47</v>
      </c>
      <c r="I195" s="1" t="s">
        <v>1457</v>
      </c>
      <c r="J195" s="1" t="s">
        <v>1458</v>
      </c>
      <c r="K195" t="s">
        <v>1459</v>
      </c>
      <c r="L195" t="s">
        <v>1460</v>
      </c>
      <c r="M195" t="s">
        <v>48</v>
      </c>
      <c r="N195" t="s">
        <v>66</v>
      </c>
      <c r="O195" t="s">
        <v>22</v>
      </c>
      <c r="P195" t="s">
        <v>29</v>
      </c>
      <c r="Q195">
        <v>0</v>
      </c>
    </row>
    <row r="196" spans="1:17" x14ac:dyDescent="0.25">
      <c r="A196">
        <v>195</v>
      </c>
      <c r="B196" t="s">
        <v>1461</v>
      </c>
      <c r="C196" s="2">
        <v>24909</v>
      </c>
      <c r="D196">
        <v>58</v>
      </c>
      <c r="E196" t="s">
        <v>1462</v>
      </c>
      <c r="F196" s="1" t="s">
        <v>30</v>
      </c>
      <c r="G196" t="s">
        <v>31</v>
      </c>
      <c r="H196" t="s">
        <v>32</v>
      </c>
      <c r="I196" s="1" t="s">
        <v>1463</v>
      </c>
      <c r="J196" s="1" t="s">
        <v>1464</v>
      </c>
      <c r="K196" t="s">
        <v>1465</v>
      </c>
      <c r="L196" t="s">
        <v>1466</v>
      </c>
      <c r="M196" t="s">
        <v>48</v>
      </c>
      <c r="N196" t="s">
        <v>72</v>
      </c>
      <c r="O196" t="s">
        <v>40</v>
      </c>
      <c r="P196" t="s">
        <v>29</v>
      </c>
      <c r="Q196">
        <v>0</v>
      </c>
    </row>
    <row r="197" spans="1:17" x14ac:dyDescent="0.25">
      <c r="A197">
        <v>196</v>
      </c>
      <c r="B197" t="s">
        <v>1467</v>
      </c>
      <c r="C197" s="2">
        <v>23806</v>
      </c>
      <c r="D197">
        <v>61</v>
      </c>
      <c r="E197" t="s">
        <v>1468</v>
      </c>
      <c r="F197" s="1" t="s">
        <v>24</v>
      </c>
      <c r="G197" t="s">
        <v>25</v>
      </c>
      <c r="H197" t="s">
        <v>26</v>
      </c>
      <c r="I197" s="1" t="s">
        <v>1469</v>
      </c>
      <c r="J197" s="1" t="s">
        <v>1470</v>
      </c>
      <c r="K197" t="s">
        <v>1471</v>
      </c>
      <c r="L197" t="s">
        <v>1472</v>
      </c>
      <c r="M197" t="s">
        <v>27</v>
      </c>
      <c r="N197" t="s">
        <v>34</v>
      </c>
      <c r="O197" t="s">
        <v>40</v>
      </c>
      <c r="P197" t="s">
        <v>29</v>
      </c>
      <c r="Q197">
        <v>0</v>
      </c>
    </row>
    <row r="198" spans="1:17" x14ac:dyDescent="0.25">
      <c r="A198">
        <v>197</v>
      </c>
      <c r="B198" t="s">
        <v>1473</v>
      </c>
      <c r="C198" s="2">
        <v>36345</v>
      </c>
      <c r="D198">
        <v>27</v>
      </c>
      <c r="E198" t="s">
        <v>1474</v>
      </c>
      <c r="F198" s="1" t="s">
        <v>264</v>
      </c>
      <c r="G198" t="s">
        <v>265</v>
      </c>
      <c r="H198" t="s">
        <v>65</v>
      </c>
      <c r="I198" s="1" t="s">
        <v>1475</v>
      </c>
      <c r="J198" s="1" t="s">
        <v>1476</v>
      </c>
      <c r="K198" t="s">
        <v>1477</v>
      </c>
      <c r="L198" t="s">
        <v>1478</v>
      </c>
      <c r="M198" t="s">
        <v>48</v>
      </c>
      <c r="N198" t="s">
        <v>49</v>
      </c>
      <c r="O198" t="s">
        <v>22</v>
      </c>
      <c r="P198" t="s">
        <v>29</v>
      </c>
      <c r="Q198">
        <v>0</v>
      </c>
    </row>
    <row r="199" spans="1:17" x14ac:dyDescent="0.25">
      <c r="A199">
        <v>198</v>
      </c>
      <c r="B199" t="s">
        <v>1479</v>
      </c>
      <c r="C199" s="2">
        <v>38006</v>
      </c>
      <c r="D199">
        <v>22</v>
      </c>
      <c r="E199" t="s">
        <v>1480</v>
      </c>
      <c r="F199" s="1" t="s">
        <v>163</v>
      </c>
      <c r="G199" t="s">
        <v>164</v>
      </c>
      <c r="H199" t="s">
        <v>32</v>
      </c>
      <c r="I199" s="1" t="s">
        <v>1481</v>
      </c>
      <c r="J199" s="1" t="s">
        <v>1482</v>
      </c>
      <c r="K199" t="s">
        <v>1483</v>
      </c>
      <c r="L199" t="s">
        <v>1484</v>
      </c>
      <c r="M199" t="s">
        <v>48</v>
      </c>
      <c r="N199" t="s">
        <v>212</v>
      </c>
      <c r="O199" t="s">
        <v>22</v>
      </c>
      <c r="P199" t="s">
        <v>23</v>
      </c>
      <c r="Q199">
        <v>1</v>
      </c>
    </row>
    <row r="200" spans="1:17" x14ac:dyDescent="0.25">
      <c r="A200">
        <v>199</v>
      </c>
      <c r="B200" t="s">
        <v>1485</v>
      </c>
      <c r="C200" s="2">
        <v>37429</v>
      </c>
      <c r="D200">
        <v>24</v>
      </c>
      <c r="E200" t="s">
        <v>1486</v>
      </c>
      <c r="F200" s="1" t="s">
        <v>208</v>
      </c>
      <c r="G200" t="s">
        <v>209</v>
      </c>
      <c r="H200" t="s">
        <v>62</v>
      </c>
      <c r="I200" s="1" t="s">
        <v>1487</v>
      </c>
      <c r="J200" s="1" t="s">
        <v>1488</v>
      </c>
      <c r="K200" t="s">
        <v>1489</v>
      </c>
      <c r="L200" t="s">
        <v>1490</v>
      </c>
      <c r="M200" t="s">
        <v>27</v>
      </c>
      <c r="N200" t="s">
        <v>72</v>
      </c>
      <c r="O200" t="s">
        <v>50</v>
      </c>
      <c r="P200" t="s">
        <v>29</v>
      </c>
      <c r="Q200">
        <v>0</v>
      </c>
    </row>
    <row r="201" spans="1:17" x14ac:dyDescent="0.25">
      <c r="A201">
        <v>200</v>
      </c>
      <c r="B201" t="s">
        <v>1491</v>
      </c>
      <c r="C201" s="2">
        <v>31506</v>
      </c>
      <c r="D201">
        <v>40</v>
      </c>
      <c r="E201" t="s">
        <v>1492</v>
      </c>
      <c r="F201" s="1" t="s">
        <v>174</v>
      </c>
      <c r="G201" t="s">
        <v>175</v>
      </c>
      <c r="H201" t="s">
        <v>19</v>
      </c>
      <c r="I201" s="1" t="s">
        <v>1493</v>
      </c>
      <c r="J201" s="1" t="s">
        <v>1494</v>
      </c>
      <c r="K201" t="s">
        <v>1495</v>
      </c>
      <c r="L201" t="s">
        <v>1496</v>
      </c>
      <c r="M201" t="s">
        <v>27</v>
      </c>
      <c r="N201" t="s">
        <v>72</v>
      </c>
      <c r="O201" t="s">
        <v>59</v>
      </c>
      <c r="P201" t="s">
        <v>29</v>
      </c>
      <c r="Q201">
        <v>0</v>
      </c>
    </row>
    <row r="202" spans="1:17" x14ac:dyDescent="0.25">
      <c r="A202">
        <v>201</v>
      </c>
      <c r="B202" t="s">
        <v>1497</v>
      </c>
      <c r="C202" s="2">
        <v>24690</v>
      </c>
      <c r="D202">
        <v>59</v>
      </c>
      <c r="E202" t="s">
        <v>1498</v>
      </c>
      <c r="F202" s="1" t="s">
        <v>217</v>
      </c>
      <c r="G202" t="s">
        <v>218</v>
      </c>
      <c r="H202" t="s">
        <v>53</v>
      </c>
      <c r="I202" s="1" t="s">
        <v>1499</v>
      </c>
      <c r="J202" s="1" t="s">
        <v>1500</v>
      </c>
      <c r="K202" t="s">
        <v>1501</v>
      </c>
      <c r="L202" t="s">
        <v>1502</v>
      </c>
      <c r="M202" t="s">
        <v>27</v>
      </c>
      <c r="N202" t="s">
        <v>106</v>
      </c>
      <c r="O202" t="s">
        <v>22</v>
      </c>
      <c r="P202" t="s">
        <v>29</v>
      </c>
      <c r="Q202">
        <v>0</v>
      </c>
    </row>
    <row r="203" spans="1:17" x14ac:dyDescent="0.25">
      <c r="A203">
        <v>202</v>
      </c>
      <c r="B203" t="s">
        <v>1503</v>
      </c>
      <c r="C203" s="2">
        <v>23093</v>
      </c>
      <c r="D203">
        <v>63</v>
      </c>
      <c r="E203" t="s">
        <v>1504</v>
      </c>
      <c r="F203" s="1" t="s">
        <v>286</v>
      </c>
      <c r="G203" t="s">
        <v>287</v>
      </c>
      <c r="H203" t="s">
        <v>32</v>
      </c>
      <c r="I203" s="1" t="s">
        <v>1505</v>
      </c>
      <c r="J203" s="1" t="s">
        <v>1506</v>
      </c>
      <c r="K203" t="s">
        <v>1507</v>
      </c>
      <c r="L203" t="s">
        <v>1508</v>
      </c>
      <c r="M203" t="s">
        <v>33</v>
      </c>
      <c r="N203" t="s">
        <v>99</v>
      </c>
      <c r="O203" t="s">
        <v>40</v>
      </c>
      <c r="P203" t="s">
        <v>23</v>
      </c>
      <c r="Q203">
        <v>1</v>
      </c>
    </row>
    <row r="204" spans="1:17" x14ac:dyDescent="0.25">
      <c r="A204">
        <v>203</v>
      </c>
      <c r="B204" t="s">
        <v>1509</v>
      </c>
      <c r="C204" s="2">
        <v>28807</v>
      </c>
      <c r="D204">
        <v>48</v>
      </c>
      <c r="E204" t="s">
        <v>1510</v>
      </c>
      <c r="F204" s="1" t="s">
        <v>183</v>
      </c>
      <c r="G204" t="s">
        <v>184</v>
      </c>
      <c r="H204" t="s">
        <v>169</v>
      </c>
      <c r="I204" s="1" t="s">
        <v>1511</v>
      </c>
      <c r="J204" s="1" t="s">
        <v>1512</v>
      </c>
      <c r="K204" t="s">
        <v>1513</v>
      </c>
      <c r="L204" t="s">
        <v>1514</v>
      </c>
      <c r="M204" t="s">
        <v>48</v>
      </c>
      <c r="N204" t="s">
        <v>212</v>
      </c>
      <c r="O204" t="s">
        <v>40</v>
      </c>
      <c r="P204" t="s">
        <v>29</v>
      </c>
      <c r="Q204">
        <v>0</v>
      </c>
    </row>
    <row r="205" spans="1:17" x14ac:dyDescent="0.25">
      <c r="A205">
        <v>204</v>
      </c>
      <c r="B205" t="s">
        <v>1515</v>
      </c>
      <c r="C205" s="2">
        <v>32105</v>
      </c>
      <c r="D205">
        <v>39</v>
      </c>
      <c r="E205" t="s">
        <v>1516</v>
      </c>
      <c r="F205" s="1" t="s">
        <v>133</v>
      </c>
      <c r="G205" t="s">
        <v>134</v>
      </c>
      <c r="H205" t="s">
        <v>135</v>
      </c>
      <c r="I205" s="1" t="s">
        <v>1517</v>
      </c>
      <c r="J205" s="1" t="s">
        <v>1518</v>
      </c>
      <c r="K205" t="s">
        <v>1519</v>
      </c>
      <c r="L205" t="s">
        <v>1520</v>
      </c>
      <c r="M205" t="s">
        <v>27</v>
      </c>
      <c r="N205" t="s">
        <v>21</v>
      </c>
      <c r="O205" t="s">
        <v>40</v>
      </c>
      <c r="P205" t="s">
        <v>29</v>
      </c>
      <c r="Q205">
        <v>0</v>
      </c>
    </row>
    <row r="206" spans="1:17" x14ac:dyDescent="0.25">
      <c r="A206">
        <v>205</v>
      </c>
      <c r="B206" t="s">
        <v>1521</v>
      </c>
      <c r="C206" s="2">
        <v>38860</v>
      </c>
      <c r="D206">
        <v>20</v>
      </c>
      <c r="E206" t="s">
        <v>1522</v>
      </c>
      <c r="F206" s="1" t="s">
        <v>153</v>
      </c>
      <c r="G206" t="s">
        <v>154</v>
      </c>
      <c r="H206" t="s">
        <v>104</v>
      </c>
      <c r="I206" s="1" t="s">
        <v>1523</v>
      </c>
      <c r="J206" s="1" t="s">
        <v>1524</v>
      </c>
      <c r="K206" t="s">
        <v>1525</v>
      </c>
      <c r="L206" t="s">
        <v>1526</v>
      </c>
      <c r="M206" t="s">
        <v>27</v>
      </c>
      <c r="N206" t="s">
        <v>49</v>
      </c>
      <c r="O206" t="s">
        <v>59</v>
      </c>
      <c r="P206" t="s">
        <v>23</v>
      </c>
      <c r="Q206">
        <v>3</v>
      </c>
    </row>
    <row r="207" spans="1:17" x14ac:dyDescent="0.25">
      <c r="A207">
        <v>206</v>
      </c>
      <c r="B207" t="s">
        <v>1527</v>
      </c>
      <c r="C207" s="2">
        <v>27900</v>
      </c>
      <c r="D207">
        <v>50</v>
      </c>
      <c r="E207" t="s">
        <v>1528</v>
      </c>
      <c r="F207" s="1" t="s">
        <v>243</v>
      </c>
      <c r="G207" t="s">
        <v>244</v>
      </c>
      <c r="H207" t="s">
        <v>135</v>
      </c>
      <c r="I207" s="1" t="s">
        <v>1529</v>
      </c>
      <c r="J207" s="1" t="s">
        <v>1530</v>
      </c>
      <c r="K207" t="s">
        <v>1531</v>
      </c>
      <c r="L207" t="s">
        <v>1532</v>
      </c>
      <c r="M207" t="s">
        <v>27</v>
      </c>
      <c r="N207" t="s">
        <v>21</v>
      </c>
      <c r="O207" t="s">
        <v>35</v>
      </c>
      <c r="P207" t="s">
        <v>23</v>
      </c>
      <c r="Q207">
        <v>1</v>
      </c>
    </row>
    <row r="208" spans="1:17" x14ac:dyDescent="0.25">
      <c r="A208">
        <v>207</v>
      </c>
      <c r="B208" t="s">
        <v>1533</v>
      </c>
      <c r="C208" s="2">
        <v>27081</v>
      </c>
      <c r="D208">
        <v>52</v>
      </c>
      <c r="E208" t="s">
        <v>1534</v>
      </c>
      <c r="F208" s="1" t="s">
        <v>245</v>
      </c>
      <c r="G208" t="s">
        <v>246</v>
      </c>
      <c r="H208" t="s">
        <v>96</v>
      </c>
      <c r="I208" s="1" t="s">
        <v>1535</v>
      </c>
      <c r="J208" s="1" t="s">
        <v>1536</v>
      </c>
      <c r="K208" t="s">
        <v>1537</v>
      </c>
      <c r="L208" t="s">
        <v>1538</v>
      </c>
      <c r="M208" t="s">
        <v>48</v>
      </c>
      <c r="N208" t="s">
        <v>34</v>
      </c>
      <c r="O208" t="s">
        <v>35</v>
      </c>
      <c r="P208" t="s">
        <v>29</v>
      </c>
      <c r="Q208">
        <v>0</v>
      </c>
    </row>
    <row r="209" spans="1:17" x14ac:dyDescent="0.25">
      <c r="A209">
        <v>208</v>
      </c>
      <c r="B209" t="s">
        <v>1539</v>
      </c>
      <c r="C209" s="2">
        <v>33057</v>
      </c>
      <c r="D209">
        <v>36</v>
      </c>
      <c r="E209" t="s">
        <v>1540</v>
      </c>
      <c r="F209" s="1" t="s">
        <v>100</v>
      </c>
      <c r="G209" t="s">
        <v>101</v>
      </c>
      <c r="H209" t="s">
        <v>26</v>
      </c>
      <c r="I209" s="1" t="s">
        <v>1541</v>
      </c>
      <c r="J209" s="1" t="s">
        <v>1542</v>
      </c>
      <c r="K209" t="s">
        <v>1543</v>
      </c>
      <c r="L209" t="s">
        <v>1544</v>
      </c>
      <c r="M209" t="s">
        <v>27</v>
      </c>
      <c r="N209" t="s">
        <v>49</v>
      </c>
      <c r="O209" t="s">
        <v>59</v>
      </c>
      <c r="P209" t="s">
        <v>23</v>
      </c>
      <c r="Q209">
        <v>1</v>
      </c>
    </row>
    <row r="210" spans="1:17" x14ac:dyDescent="0.25">
      <c r="A210">
        <v>209</v>
      </c>
      <c r="B210" t="s">
        <v>1545</v>
      </c>
      <c r="C210" s="2">
        <v>22651</v>
      </c>
      <c r="D210">
        <v>64</v>
      </c>
      <c r="E210" t="s">
        <v>1546</v>
      </c>
      <c r="F210" s="1" t="s">
        <v>295</v>
      </c>
      <c r="G210" t="s">
        <v>225</v>
      </c>
      <c r="H210" t="s">
        <v>87</v>
      </c>
      <c r="I210" s="1" t="s">
        <v>1547</v>
      </c>
      <c r="J210" s="1" t="s">
        <v>1548</v>
      </c>
      <c r="K210" t="s">
        <v>1549</v>
      </c>
      <c r="L210" t="s">
        <v>1550</v>
      </c>
      <c r="M210" t="s">
        <v>27</v>
      </c>
      <c r="N210" t="s">
        <v>82</v>
      </c>
      <c r="O210" t="s">
        <v>35</v>
      </c>
      <c r="P210" t="s">
        <v>23</v>
      </c>
      <c r="Q210">
        <v>2</v>
      </c>
    </row>
    <row r="211" spans="1:17" x14ac:dyDescent="0.25">
      <c r="A211">
        <v>210</v>
      </c>
      <c r="B211" t="s">
        <v>1551</v>
      </c>
      <c r="C211" s="2">
        <v>38862</v>
      </c>
      <c r="D211">
        <v>20</v>
      </c>
      <c r="E211" t="s">
        <v>1552</v>
      </c>
      <c r="F211" s="1" t="s">
        <v>295</v>
      </c>
      <c r="G211" t="s">
        <v>225</v>
      </c>
      <c r="H211" t="s">
        <v>87</v>
      </c>
      <c r="I211" s="1" t="s">
        <v>1553</v>
      </c>
      <c r="J211" s="1" t="s">
        <v>1554</v>
      </c>
      <c r="K211" t="s">
        <v>1555</v>
      </c>
      <c r="L211" t="s">
        <v>1556</v>
      </c>
      <c r="M211" t="s">
        <v>48</v>
      </c>
      <c r="N211" t="s">
        <v>67</v>
      </c>
      <c r="O211" t="s">
        <v>35</v>
      </c>
      <c r="P211" t="s">
        <v>23</v>
      </c>
      <c r="Q211">
        <v>3</v>
      </c>
    </row>
    <row r="212" spans="1:17" x14ac:dyDescent="0.25">
      <c r="A212">
        <v>211</v>
      </c>
      <c r="B212" t="s">
        <v>1557</v>
      </c>
      <c r="C212" s="2">
        <v>27969</v>
      </c>
      <c r="D212">
        <v>50</v>
      </c>
      <c r="E212" t="s">
        <v>1558</v>
      </c>
      <c r="F212" s="1" t="s">
        <v>200</v>
      </c>
      <c r="G212" t="s">
        <v>201</v>
      </c>
      <c r="H212" t="s">
        <v>169</v>
      </c>
      <c r="I212" s="1" t="s">
        <v>1559</v>
      </c>
      <c r="J212" s="1" t="s">
        <v>1560</v>
      </c>
      <c r="K212" t="s">
        <v>1561</v>
      </c>
      <c r="L212" t="s">
        <v>1562</v>
      </c>
      <c r="M212" t="s">
        <v>27</v>
      </c>
      <c r="N212" t="s">
        <v>150</v>
      </c>
      <c r="O212" t="s">
        <v>59</v>
      </c>
      <c r="P212" t="s">
        <v>29</v>
      </c>
      <c r="Q212">
        <v>0</v>
      </c>
    </row>
    <row r="213" spans="1:17" x14ac:dyDescent="0.25">
      <c r="A213">
        <v>212</v>
      </c>
      <c r="B213" t="s">
        <v>1563</v>
      </c>
      <c r="C213" s="2">
        <v>31907</v>
      </c>
      <c r="D213">
        <v>39</v>
      </c>
      <c r="E213" t="s">
        <v>1564</v>
      </c>
      <c r="F213" s="1" t="s">
        <v>250</v>
      </c>
      <c r="G213" t="s">
        <v>251</v>
      </c>
      <c r="H213" t="s">
        <v>43</v>
      </c>
      <c r="I213" s="1" t="s">
        <v>1565</v>
      </c>
      <c r="J213" s="1" t="s">
        <v>1566</v>
      </c>
      <c r="K213" t="s">
        <v>1567</v>
      </c>
      <c r="L213" t="s">
        <v>1568</v>
      </c>
      <c r="M213" t="s">
        <v>48</v>
      </c>
      <c r="N213" t="s">
        <v>54</v>
      </c>
      <c r="O213" t="s">
        <v>22</v>
      </c>
      <c r="P213" t="s">
        <v>29</v>
      </c>
      <c r="Q213">
        <v>0</v>
      </c>
    </row>
    <row r="214" spans="1:17" x14ac:dyDescent="0.25">
      <c r="A214">
        <v>213</v>
      </c>
      <c r="B214" t="s">
        <v>1569</v>
      </c>
      <c r="C214" s="2">
        <v>25168</v>
      </c>
      <c r="D214">
        <v>58</v>
      </c>
      <c r="E214" t="s">
        <v>1570</v>
      </c>
      <c r="F214" s="1" t="s">
        <v>148</v>
      </c>
      <c r="G214" t="s">
        <v>149</v>
      </c>
      <c r="H214" t="s">
        <v>71</v>
      </c>
      <c r="I214" s="1" t="s">
        <v>1571</v>
      </c>
      <c r="J214" s="1" t="s">
        <v>1572</v>
      </c>
      <c r="K214" t="s">
        <v>1573</v>
      </c>
      <c r="L214" t="s">
        <v>1574</v>
      </c>
      <c r="M214" t="s">
        <v>33</v>
      </c>
      <c r="N214" t="s">
        <v>66</v>
      </c>
      <c r="O214" t="s">
        <v>35</v>
      </c>
      <c r="P214" t="s">
        <v>29</v>
      </c>
      <c r="Q214">
        <v>0</v>
      </c>
    </row>
    <row r="215" spans="1:17" x14ac:dyDescent="0.25">
      <c r="A215">
        <v>214</v>
      </c>
      <c r="B215" t="s">
        <v>1575</v>
      </c>
      <c r="C215" s="2">
        <v>28180</v>
      </c>
      <c r="D215">
        <v>49</v>
      </c>
      <c r="E215" t="s">
        <v>1576</v>
      </c>
      <c r="F215" s="1" t="s">
        <v>75</v>
      </c>
      <c r="G215" t="s">
        <v>76</v>
      </c>
      <c r="H215" t="s">
        <v>77</v>
      </c>
      <c r="I215" s="1" t="s">
        <v>1577</v>
      </c>
      <c r="J215" s="1" t="s">
        <v>1578</v>
      </c>
      <c r="K215" t="s">
        <v>1579</v>
      </c>
      <c r="L215" t="s">
        <v>1580</v>
      </c>
      <c r="M215" t="s">
        <v>48</v>
      </c>
      <c r="N215" t="s">
        <v>212</v>
      </c>
      <c r="O215" t="s">
        <v>50</v>
      </c>
      <c r="P215" t="s">
        <v>29</v>
      </c>
      <c r="Q215">
        <v>0</v>
      </c>
    </row>
    <row r="216" spans="1:17" x14ac:dyDescent="0.25">
      <c r="A216">
        <v>215</v>
      </c>
      <c r="B216" t="s">
        <v>1581</v>
      </c>
      <c r="C216" s="2">
        <v>34440</v>
      </c>
      <c r="D216">
        <v>32</v>
      </c>
      <c r="E216" t="s">
        <v>1582</v>
      </c>
      <c r="F216" s="1" t="s">
        <v>213</v>
      </c>
      <c r="G216" t="s">
        <v>214</v>
      </c>
      <c r="H216" t="s">
        <v>119</v>
      </c>
      <c r="I216" s="1" t="s">
        <v>1583</v>
      </c>
      <c r="J216" s="1" t="s">
        <v>1584</v>
      </c>
      <c r="K216" t="s">
        <v>1585</v>
      </c>
      <c r="L216" t="s">
        <v>1586</v>
      </c>
      <c r="M216" t="s">
        <v>27</v>
      </c>
      <c r="N216" t="s">
        <v>54</v>
      </c>
      <c r="O216" t="s">
        <v>50</v>
      </c>
      <c r="P216" t="s">
        <v>23</v>
      </c>
      <c r="Q216">
        <v>3</v>
      </c>
    </row>
    <row r="217" spans="1:17" x14ac:dyDescent="0.25">
      <c r="A217">
        <v>216</v>
      </c>
      <c r="B217" t="s">
        <v>1587</v>
      </c>
      <c r="C217" s="2">
        <v>25411</v>
      </c>
      <c r="D217">
        <v>57</v>
      </c>
      <c r="E217" t="s">
        <v>1588</v>
      </c>
      <c r="F217" s="1" t="s">
        <v>148</v>
      </c>
      <c r="G217" t="s">
        <v>149</v>
      </c>
      <c r="H217" t="s">
        <v>71</v>
      </c>
      <c r="I217" s="1" t="s">
        <v>1589</v>
      </c>
      <c r="J217" s="1" t="s">
        <v>1590</v>
      </c>
      <c r="K217" t="s">
        <v>1591</v>
      </c>
      <c r="L217" t="s">
        <v>1592</v>
      </c>
      <c r="M217" t="s">
        <v>33</v>
      </c>
      <c r="N217" t="s">
        <v>78</v>
      </c>
      <c r="O217" t="s">
        <v>50</v>
      </c>
      <c r="P217" t="s">
        <v>23</v>
      </c>
      <c r="Q217">
        <v>1</v>
      </c>
    </row>
    <row r="218" spans="1:17" x14ac:dyDescent="0.25">
      <c r="A218">
        <v>217</v>
      </c>
      <c r="B218" t="s">
        <v>1593</v>
      </c>
      <c r="C218" s="2">
        <v>38037</v>
      </c>
      <c r="D218">
        <v>22</v>
      </c>
      <c r="E218" t="s">
        <v>1594</v>
      </c>
      <c r="F218" s="1" t="s">
        <v>172</v>
      </c>
      <c r="G218" t="s">
        <v>173</v>
      </c>
      <c r="H218" t="s">
        <v>110</v>
      </c>
      <c r="I218" s="1" t="s">
        <v>1595</v>
      </c>
      <c r="J218" s="1" t="s">
        <v>1596</v>
      </c>
      <c r="K218" t="s">
        <v>1597</v>
      </c>
      <c r="L218" t="s">
        <v>1598</v>
      </c>
      <c r="M218" t="s">
        <v>48</v>
      </c>
      <c r="N218" t="s">
        <v>82</v>
      </c>
      <c r="O218" t="s">
        <v>40</v>
      </c>
      <c r="P218" t="s">
        <v>29</v>
      </c>
      <c r="Q218">
        <v>0</v>
      </c>
    </row>
    <row r="219" spans="1:17" x14ac:dyDescent="0.25">
      <c r="A219">
        <v>218</v>
      </c>
      <c r="B219" t="s">
        <v>1599</v>
      </c>
      <c r="C219" s="2">
        <v>36307</v>
      </c>
      <c r="D219">
        <v>27</v>
      </c>
      <c r="E219" t="s">
        <v>1600</v>
      </c>
      <c r="F219" s="1" t="s">
        <v>191</v>
      </c>
      <c r="G219" t="s">
        <v>192</v>
      </c>
      <c r="H219" t="s">
        <v>126</v>
      </c>
      <c r="I219" s="1" t="s">
        <v>1601</v>
      </c>
      <c r="J219" s="1" t="s">
        <v>1602</v>
      </c>
      <c r="K219" t="s">
        <v>1603</v>
      </c>
      <c r="L219" t="s">
        <v>1604</v>
      </c>
      <c r="M219" t="s">
        <v>48</v>
      </c>
      <c r="N219" t="s">
        <v>21</v>
      </c>
      <c r="O219" t="s">
        <v>59</v>
      </c>
      <c r="P219" t="s">
        <v>23</v>
      </c>
      <c r="Q219">
        <v>2</v>
      </c>
    </row>
    <row r="220" spans="1:17" x14ac:dyDescent="0.25">
      <c r="A220">
        <v>219</v>
      </c>
      <c r="B220" t="s">
        <v>1605</v>
      </c>
      <c r="C220" s="2">
        <v>32330</v>
      </c>
      <c r="D220">
        <v>38</v>
      </c>
      <c r="E220" t="s">
        <v>1606</v>
      </c>
      <c r="F220" s="1" t="s">
        <v>223</v>
      </c>
      <c r="G220" t="s">
        <v>224</v>
      </c>
      <c r="H220" t="s">
        <v>43</v>
      </c>
      <c r="I220" s="1" t="s">
        <v>1607</v>
      </c>
      <c r="J220" s="1" t="s">
        <v>1608</v>
      </c>
      <c r="K220" t="s">
        <v>1609</v>
      </c>
      <c r="L220" t="s">
        <v>1610</v>
      </c>
      <c r="M220" t="s">
        <v>27</v>
      </c>
      <c r="N220" t="s">
        <v>21</v>
      </c>
      <c r="O220" t="s">
        <v>59</v>
      </c>
      <c r="P220" t="s">
        <v>23</v>
      </c>
      <c r="Q220">
        <v>1</v>
      </c>
    </row>
    <row r="221" spans="1:17" x14ac:dyDescent="0.25">
      <c r="A221">
        <v>220</v>
      </c>
      <c r="B221" t="s">
        <v>1611</v>
      </c>
      <c r="C221" s="2">
        <v>23421</v>
      </c>
      <c r="D221">
        <v>62</v>
      </c>
      <c r="E221" t="s">
        <v>1612</v>
      </c>
      <c r="F221" s="1" t="s">
        <v>278</v>
      </c>
      <c r="G221" t="s">
        <v>279</v>
      </c>
      <c r="H221" t="s">
        <v>26</v>
      </c>
      <c r="I221" s="1" t="s">
        <v>1613</v>
      </c>
      <c r="J221" s="1" t="s">
        <v>1614</v>
      </c>
      <c r="K221" t="s">
        <v>1615</v>
      </c>
      <c r="L221" t="s">
        <v>1616</v>
      </c>
      <c r="M221" t="s">
        <v>27</v>
      </c>
      <c r="N221" t="s">
        <v>49</v>
      </c>
      <c r="O221" t="s">
        <v>35</v>
      </c>
      <c r="P221" t="s">
        <v>29</v>
      </c>
      <c r="Q221">
        <v>0</v>
      </c>
    </row>
    <row r="222" spans="1:17" x14ac:dyDescent="0.25">
      <c r="A222">
        <v>221</v>
      </c>
      <c r="B222" t="s">
        <v>1617</v>
      </c>
      <c r="C222" s="2">
        <v>31092</v>
      </c>
      <c r="D222">
        <v>41</v>
      </c>
      <c r="E222" t="s">
        <v>1618</v>
      </c>
      <c r="F222" s="1" t="s">
        <v>284</v>
      </c>
      <c r="G222" t="s">
        <v>285</v>
      </c>
      <c r="H222" t="s">
        <v>104</v>
      </c>
      <c r="I222" s="1" t="s">
        <v>1619</v>
      </c>
      <c r="J222" s="1" t="s">
        <v>1620</v>
      </c>
      <c r="K222" t="s">
        <v>1621</v>
      </c>
      <c r="L222" t="s">
        <v>1622</v>
      </c>
      <c r="M222" t="s">
        <v>68</v>
      </c>
      <c r="N222" t="s">
        <v>106</v>
      </c>
      <c r="O222" t="s">
        <v>35</v>
      </c>
      <c r="P222" t="s">
        <v>29</v>
      </c>
      <c r="Q222">
        <v>0</v>
      </c>
    </row>
    <row r="223" spans="1:17" x14ac:dyDescent="0.25">
      <c r="A223">
        <v>222</v>
      </c>
      <c r="B223" t="s">
        <v>1623</v>
      </c>
      <c r="C223" s="2">
        <v>26842</v>
      </c>
      <c r="D223">
        <v>53</v>
      </c>
      <c r="E223" t="s">
        <v>1624</v>
      </c>
      <c r="F223" s="1" t="s">
        <v>292</v>
      </c>
      <c r="G223" t="s">
        <v>293</v>
      </c>
      <c r="H223" t="s">
        <v>26</v>
      </c>
      <c r="I223" s="1" t="s">
        <v>1625</v>
      </c>
      <c r="J223" s="1" t="s">
        <v>1626</v>
      </c>
      <c r="K223" t="s">
        <v>1627</v>
      </c>
      <c r="L223" t="s">
        <v>1628</v>
      </c>
      <c r="M223" t="s">
        <v>27</v>
      </c>
      <c r="N223" t="s">
        <v>21</v>
      </c>
      <c r="O223" t="s">
        <v>59</v>
      </c>
      <c r="P223" t="s">
        <v>29</v>
      </c>
      <c r="Q223">
        <v>0</v>
      </c>
    </row>
    <row r="224" spans="1:17" x14ac:dyDescent="0.25">
      <c r="A224">
        <v>223</v>
      </c>
      <c r="B224" t="s">
        <v>1629</v>
      </c>
      <c r="C224" s="2">
        <v>31104</v>
      </c>
      <c r="D224">
        <v>41</v>
      </c>
      <c r="E224" t="s">
        <v>1630</v>
      </c>
      <c r="F224" s="1" t="s">
        <v>159</v>
      </c>
      <c r="G224" t="s">
        <v>160</v>
      </c>
      <c r="H224" t="s">
        <v>113</v>
      </c>
      <c r="I224" s="1" t="s">
        <v>1631</v>
      </c>
      <c r="J224" s="1" t="s">
        <v>1632</v>
      </c>
      <c r="K224" t="s">
        <v>1633</v>
      </c>
      <c r="L224" t="s">
        <v>1634</v>
      </c>
      <c r="M224" t="s">
        <v>33</v>
      </c>
      <c r="N224" t="s">
        <v>193</v>
      </c>
      <c r="O224" t="s">
        <v>40</v>
      </c>
      <c r="P224" t="s">
        <v>29</v>
      </c>
      <c r="Q224">
        <v>0</v>
      </c>
    </row>
    <row r="225" spans="1:17" x14ac:dyDescent="0.25">
      <c r="A225">
        <v>224</v>
      </c>
      <c r="B225" t="s">
        <v>1635</v>
      </c>
      <c r="C225" s="2">
        <v>29440</v>
      </c>
      <c r="D225">
        <v>46</v>
      </c>
      <c r="E225" t="s">
        <v>1636</v>
      </c>
      <c r="F225" s="1" t="s">
        <v>165</v>
      </c>
      <c r="G225" t="s">
        <v>166</v>
      </c>
      <c r="H225" t="s">
        <v>65</v>
      </c>
      <c r="I225" s="1" t="s">
        <v>1637</v>
      </c>
      <c r="J225" s="1" t="s">
        <v>1638</v>
      </c>
      <c r="K225" t="s">
        <v>1639</v>
      </c>
      <c r="L225" t="s">
        <v>1640</v>
      </c>
      <c r="M225" t="s">
        <v>27</v>
      </c>
      <c r="N225" t="s">
        <v>28</v>
      </c>
      <c r="O225" t="s">
        <v>35</v>
      </c>
      <c r="P225" t="s">
        <v>23</v>
      </c>
      <c r="Q225">
        <v>1</v>
      </c>
    </row>
    <row r="226" spans="1:17" x14ac:dyDescent="0.25">
      <c r="A226">
        <v>225</v>
      </c>
      <c r="B226" t="s">
        <v>1641</v>
      </c>
      <c r="C226" s="2">
        <v>38565</v>
      </c>
      <c r="D226">
        <v>21</v>
      </c>
      <c r="E226" t="s">
        <v>1642</v>
      </c>
      <c r="F226" s="1" t="s">
        <v>274</v>
      </c>
      <c r="G226" t="s">
        <v>275</v>
      </c>
      <c r="H226" t="s">
        <v>65</v>
      </c>
      <c r="I226" s="1" t="s">
        <v>1643</v>
      </c>
      <c r="J226" s="1" t="s">
        <v>1644</v>
      </c>
      <c r="K226" t="s">
        <v>1645</v>
      </c>
      <c r="L226" t="s">
        <v>1646</v>
      </c>
      <c r="M226" t="s">
        <v>48</v>
      </c>
      <c r="N226" t="s">
        <v>39</v>
      </c>
      <c r="O226" t="s">
        <v>35</v>
      </c>
      <c r="P226" t="s">
        <v>23</v>
      </c>
      <c r="Q226">
        <v>3</v>
      </c>
    </row>
    <row r="227" spans="1:17" x14ac:dyDescent="0.25">
      <c r="A227">
        <v>226</v>
      </c>
      <c r="B227" t="s">
        <v>1647</v>
      </c>
      <c r="C227" s="2">
        <v>23859</v>
      </c>
      <c r="D227">
        <v>61</v>
      </c>
      <c r="E227" t="s">
        <v>1648</v>
      </c>
      <c r="F227" s="1" t="s">
        <v>178</v>
      </c>
      <c r="G227" t="s">
        <v>179</v>
      </c>
      <c r="H227" t="s">
        <v>180</v>
      </c>
      <c r="I227" s="1" t="s">
        <v>1649</v>
      </c>
      <c r="J227" s="1" t="s">
        <v>1650</v>
      </c>
      <c r="K227" t="s">
        <v>1651</v>
      </c>
      <c r="L227" t="s">
        <v>1652</v>
      </c>
      <c r="M227" t="s">
        <v>27</v>
      </c>
      <c r="N227" t="s">
        <v>212</v>
      </c>
      <c r="O227" t="s">
        <v>35</v>
      </c>
      <c r="P227" t="s">
        <v>29</v>
      </c>
      <c r="Q227">
        <v>0</v>
      </c>
    </row>
    <row r="228" spans="1:17" x14ac:dyDescent="0.25">
      <c r="A228">
        <v>227</v>
      </c>
      <c r="B228" t="s">
        <v>1653</v>
      </c>
      <c r="C228" s="2">
        <v>24808</v>
      </c>
      <c r="D228">
        <v>59</v>
      </c>
      <c r="E228" t="s">
        <v>1654</v>
      </c>
      <c r="F228" s="1" t="s">
        <v>100</v>
      </c>
      <c r="G228" t="s">
        <v>101</v>
      </c>
      <c r="H228" t="s">
        <v>26</v>
      </c>
      <c r="I228" s="1" t="s">
        <v>1655</v>
      </c>
      <c r="J228" s="1" t="s">
        <v>1656</v>
      </c>
      <c r="K228" t="s">
        <v>1657</v>
      </c>
      <c r="L228" t="s">
        <v>1658</v>
      </c>
      <c r="M228" t="s">
        <v>48</v>
      </c>
      <c r="N228" t="s">
        <v>212</v>
      </c>
      <c r="O228" t="s">
        <v>35</v>
      </c>
      <c r="P228" t="s">
        <v>29</v>
      </c>
      <c r="Q228">
        <v>0</v>
      </c>
    </row>
    <row r="229" spans="1:17" x14ac:dyDescent="0.25">
      <c r="A229">
        <v>228</v>
      </c>
      <c r="B229" t="s">
        <v>1659</v>
      </c>
      <c r="C229" s="2">
        <v>26304</v>
      </c>
      <c r="D229">
        <v>54</v>
      </c>
      <c r="E229" t="s">
        <v>1660</v>
      </c>
      <c r="F229" s="1" t="s">
        <v>140</v>
      </c>
      <c r="G229" t="s">
        <v>141</v>
      </c>
      <c r="H229" t="s">
        <v>110</v>
      </c>
      <c r="I229" s="1" t="s">
        <v>1661</v>
      </c>
      <c r="J229" s="1" t="s">
        <v>1662</v>
      </c>
      <c r="K229" t="s">
        <v>1663</v>
      </c>
      <c r="L229" t="s">
        <v>1664</v>
      </c>
      <c r="M229" t="s">
        <v>48</v>
      </c>
      <c r="N229" t="s">
        <v>72</v>
      </c>
      <c r="O229" t="s">
        <v>22</v>
      </c>
      <c r="P229" t="s">
        <v>23</v>
      </c>
      <c r="Q229">
        <v>1</v>
      </c>
    </row>
    <row r="230" spans="1:17" x14ac:dyDescent="0.25">
      <c r="A230">
        <v>229</v>
      </c>
      <c r="B230" t="s">
        <v>1665</v>
      </c>
      <c r="C230" s="2">
        <v>23647</v>
      </c>
      <c r="D230">
        <v>62</v>
      </c>
      <c r="E230" t="s">
        <v>1666</v>
      </c>
      <c r="F230" s="1" t="s">
        <v>215</v>
      </c>
      <c r="G230" t="s">
        <v>216</v>
      </c>
      <c r="H230" t="s">
        <v>113</v>
      </c>
      <c r="I230" s="1" t="s">
        <v>1667</v>
      </c>
      <c r="J230" s="1" t="s">
        <v>1668</v>
      </c>
      <c r="K230" t="s">
        <v>1669</v>
      </c>
      <c r="L230" t="s">
        <v>1670</v>
      </c>
      <c r="M230" t="s">
        <v>27</v>
      </c>
      <c r="N230" t="s">
        <v>72</v>
      </c>
      <c r="O230" t="s">
        <v>35</v>
      </c>
      <c r="P230" t="s">
        <v>29</v>
      </c>
      <c r="Q230">
        <v>0</v>
      </c>
    </row>
    <row r="231" spans="1:17" x14ac:dyDescent="0.25">
      <c r="A231">
        <v>230</v>
      </c>
      <c r="B231" t="s">
        <v>1671</v>
      </c>
      <c r="C231" s="2">
        <v>35498</v>
      </c>
      <c r="D231">
        <v>29</v>
      </c>
      <c r="E231" t="s">
        <v>1672</v>
      </c>
      <c r="F231" s="1" t="s">
        <v>161</v>
      </c>
      <c r="G231" t="s">
        <v>162</v>
      </c>
      <c r="H231" t="s">
        <v>53</v>
      </c>
      <c r="I231" s="1" t="s">
        <v>1673</v>
      </c>
      <c r="J231" s="1" t="s">
        <v>1674</v>
      </c>
      <c r="K231" t="s">
        <v>1675</v>
      </c>
      <c r="L231" t="s">
        <v>1676</v>
      </c>
      <c r="M231" t="s">
        <v>27</v>
      </c>
      <c r="N231" t="s">
        <v>82</v>
      </c>
      <c r="O231" t="s">
        <v>35</v>
      </c>
      <c r="P231" t="s">
        <v>29</v>
      </c>
      <c r="Q231">
        <v>0</v>
      </c>
    </row>
    <row r="232" spans="1:17" x14ac:dyDescent="0.25">
      <c r="A232">
        <v>231</v>
      </c>
      <c r="B232" t="s">
        <v>1677</v>
      </c>
      <c r="C232" s="2">
        <v>27022</v>
      </c>
      <c r="D232">
        <v>53</v>
      </c>
      <c r="E232" t="s">
        <v>1678</v>
      </c>
      <c r="F232" s="1" t="s">
        <v>117</v>
      </c>
      <c r="G232" t="s">
        <v>118</v>
      </c>
      <c r="H232" t="s">
        <v>119</v>
      </c>
      <c r="I232" s="1" t="s">
        <v>1679</v>
      </c>
      <c r="J232" s="1" t="s">
        <v>1680</v>
      </c>
      <c r="K232" t="s">
        <v>1681</v>
      </c>
      <c r="L232" t="s">
        <v>1682</v>
      </c>
      <c r="M232" t="s">
        <v>48</v>
      </c>
      <c r="N232" t="s">
        <v>193</v>
      </c>
      <c r="O232" t="s">
        <v>59</v>
      </c>
      <c r="P232" t="s">
        <v>29</v>
      </c>
      <c r="Q232">
        <v>0</v>
      </c>
    </row>
    <row r="233" spans="1:17" x14ac:dyDescent="0.25">
      <c r="A233">
        <v>232</v>
      </c>
      <c r="B233" t="s">
        <v>1683</v>
      </c>
      <c r="C233" s="2">
        <v>37127</v>
      </c>
      <c r="D233">
        <v>25</v>
      </c>
      <c r="E233" t="s">
        <v>1684</v>
      </c>
      <c r="F233" s="1" t="s">
        <v>122</v>
      </c>
      <c r="G233" t="s">
        <v>123</v>
      </c>
      <c r="H233" t="s">
        <v>43</v>
      </c>
      <c r="I233" s="1" t="s">
        <v>1685</v>
      </c>
      <c r="J233" s="1" t="s">
        <v>1686</v>
      </c>
      <c r="K233" t="s">
        <v>1687</v>
      </c>
      <c r="L233" t="s">
        <v>1688</v>
      </c>
      <c r="M233" t="s">
        <v>48</v>
      </c>
      <c r="N233" t="s">
        <v>82</v>
      </c>
      <c r="O233" t="s">
        <v>35</v>
      </c>
      <c r="P233" t="s">
        <v>23</v>
      </c>
      <c r="Q233">
        <v>2</v>
      </c>
    </row>
    <row r="234" spans="1:17" x14ac:dyDescent="0.25">
      <c r="A234">
        <v>233</v>
      </c>
      <c r="B234" t="s">
        <v>1689</v>
      </c>
      <c r="C234" s="2">
        <v>28040</v>
      </c>
      <c r="D234">
        <v>50</v>
      </c>
      <c r="E234" t="s">
        <v>1690</v>
      </c>
      <c r="F234" s="1" t="s">
        <v>124</v>
      </c>
      <c r="G234" t="s">
        <v>125</v>
      </c>
      <c r="H234" t="s">
        <v>126</v>
      </c>
      <c r="I234" s="1" t="s">
        <v>1691</v>
      </c>
      <c r="J234" s="1" t="s">
        <v>1692</v>
      </c>
      <c r="K234" t="s">
        <v>1693</v>
      </c>
      <c r="L234" t="s">
        <v>1694</v>
      </c>
      <c r="M234" t="s">
        <v>48</v>
      </c>
      <c r="N234" t="s">
        <v>88</v>
      </c>
      <c r="O234" t="s">
        <v>50</v>
      </c>
      <c r="P234" t="s">
        <v>23</v>
      </c>
      <c r="Q234">
        <v>3</v>
      </c>
    </row>
    <row r="235" spans="1:17" x14ac:dyDescent="0.25">
      <c r="A235">
        <v>234</v>
      </c>
      <c r="B235" t="s">
        <v>1695</v>
      </c>
      <c r="C235" s="2">
        <v>28466</v>
      </c>
      <c r="D235">
        <v>49</v>
      </c>
      <c r="E235" t="s">
        <v>1696</v>
      </c>
      <c r="F235" s="1" t="s">
        <v>245</v>
      </c>
      <c r="G235" t="s">
        <v>246</v>
      </c>
      <c r="H235" t="s">
        <v>96</v>
      </c>
      <c r="I235" s="1" t="s">
        <v>1697</v>
      </c>
      <c r="J235" s="1" t="s">
        <v>1698</v>
      </c>
      <c r="K235" t="s">
        <v>1699</v>
      </c>
      <c r="L235" t="s">
        <v>1700</v>
      </c>
      <c r="M235" t="s">
        <v>33</v>
      </c>
      <c r="N235" t="s">
        <v>106</v>
      </c>
      <c r="O235" t="s">
        <v>59</v>
      </c>
      <c r="P235" t="s">
        <v>29</v>
      </c>
      <c r="Q235">
        <v>0</v>
      </c>
    </row>
    <row r="236" spans="1:17" x14ac:dyDescent="0.25">
      <c r="A236">
        <v>235</v>
      </c>
      <c r="B236" t="s">
        <v>1701</v>
      </c>
      <c r="C236" s="2">
        <v>26018</v>
      </c>
      <c r="D236">
        <v>55</v>
      </c>
      <c r="E236" t="s">
        <v>1702</v>
      </c>
      <c r="F236" s="1" t="s">
        <v>295</v>
      </c>
      <c r="G236" t="s">
        <v>225</v>
      </c>
      <c r="H236" t="s">
        <v>87</v>
      </c>
      <c r="I236" s="1" t="s">
        <v>1703</v>
      </c>
      <c r="J236" s="1" t="s">
        <v>1704</v>
      </c>
      <c r="K236" t="s">
        <v>1705</v>
      </c>
      <c r="L236" t="s">
        <v>1706</v>
      </c>
      <c r="M236" t="s">
        <v>33</v>
      </c>
      <c r="N236" t="s">
        <v>28</v>
      </c>
      <c r="O236" t="s">
        <v>50</v>
      </c>
      <c r="P236" t="s">
        <v>23</v>
      </c>
      <c r="Q236">
        <v>1</v>
      </c>
    </row>
    <row r="237" spans="1:17" x14ac:dyDescent="0.25">
      <c r="A237">
        <v>236</v>
      </c>
      <c r="B237" t="s">
        <v>1707</v>
      </c>
      <c r="C237" s="2">
        <v>32631</v>
      </c>
      <c r="D237">
        <v>37</v>
      </c>
      <c r="E237" t="s">
        <v>1708</v>
      </c>
      <c r="F237" s="1" t="s">
        <v>191</v>
      </c>
      <c r="G237" t="s">
        <v>192</v>
      </c>
      <c r="H237" t="s">
        <v>126</v>
      </c>
      <c r="I237" s="1" t="s">
        <v>1709</v>
      </c>
      <c r="J237" s="1" t="s">
        <v>1710</v>
      </c>
      <c r="K237" t="s">
        <v>1711</v>
      </c>
      <c r="L237" t="s">
        <v>1712</v>
      </c>
      <c r="M237" t="s">
        <v>48</v>
      </c>
      <c r="N237" t="s">
        <v>21</v>
      </c>
      <c r="O237" t="s">
        <v>22</v>
      </c>
      <c r="P237" t="s">
        <v>29</v>
      </c>
      <c r="Q237">
        <v>0</v>
      </c>
    </row>
    <row r="238" spans="1:17" x14ac:dyDescent="0.25">
      <c r="A238">
        <v>237</v>
      </c>
      <c r="B238" t="s">
        <v>1713</v>
      </c>
      <c r="C238" s="2">
        <v>23835</v>
      </c>
      <c r="D238">
        <v>61</v>
      </c>
      <c r="E238" t="s">
        <v>1714</v>
      </c>
      <c r="F238" s="1" t="s">
        <v>92</v>
      </c>
      <c r="G238" t="s">
        <v>93</v>
      </c>
      <c r="H238" t="s">
        <v>38</v>
      </c>
      <c r="I238" s="1" t="s">
        <v>1715</v>
      </c>
      <c r="J238" s="1" t="s">
        <v>1716</v>
      </c>
      <c r="K238" t="s">
        <v>1717</v>
      </c>
      <c r="L238" t="s">
        <v>1718</v>
      </c>
      <c r="M238" t="s">
        <v>48</v>
      </c>
      <c r="N238" t="s">
        <v>44</v>
      </c>
      <c r="O238" t="s">
        <v>35</v>
      </c>
      <c r="P238" t="s">
        <v>23</v>
      </c>
      <c r="Q238">
        <v>1</v>
      </c>
    </row>
    <row r="239" spans="1:17" x14ac:dyDescent="0.25">
      <c r="A239">
        <v>238</v>
      </c>
      <c r="B239" t="s">
        <v>1719</v>
      </c>
      <c r="C239" s="2">
        <v>25265</v>
      </c>
      <c r="D239">
        <v>57</v>
      </c>
      <c r="E239" t="s">
        <v>1720</v>
      </c>
      <c r="F239" s="1" t="s">
        <v>202</v>
      </c>
      <c r="G239" t="s">
        <v>203</v>
      </c>
      <c r="H239" t="s">
        <v>43</v>
      </c>
      <c r="I239" s="1" t="s">
        <v>1721</v>
      </c>
      <c r="J239" s="1" t="s">
        <v>1722</v>
      </c>
      <c r="K239" t="s">
        <v>1723</v>
      </c>
      <c r="L239" t="s">
        <v>1724</v>
      </c>
      <c r="M239" t="s">
        <v>33</v>
      </c>
      <c r="N239" t="s">
        <v>106</v>
      </c>
      <c r="O239" t="s">
        <v>59</v>
      </c>
      <c r="P239" t="s">
        <v>23</v>
      </c>
      <c r="Q239">
        <v>3</v>
      </c>
    </row>
    <row r="240" spans="1:17" x14ac:dyDescent="0.25">
      <c r="A240">
        <v>239</v>
      </c>
      <c r="B240" t="s">
        <v>1725</v>
      </c>
      <c r="C240" s="2">
        <v>36610</v>
      </c>
      <c r="D240">
        <v>26</v>
      </c>
      <c r="E240" t="s">
        <v>1726</v>
      </c>
      <c r="F240" s="1" t="s">
        <v>155</v>
      </c>
      <c r="G240" t="s">
        <v>156</v>
      </c>
      <c r="H240" t="s">
        <v>126</v>
      </c>
      <c r="I240" s="1" t="s">
        <v>1727</v>
      </c>
      <c r="J240" s="1" t="s">
        <v>1728</v>
      </c>
      <c r="K240" t="s">
        <v>1729</v>
      </c>
      <c r="L240" t="s">
        <v>1730</v>
      </c>
      <c r="M240" t="s">
        <v>33</v>
      </c>
      <c r="N240" t="s">
        <v>99</v>
      </c>
      <c r="O240" t="s">
        <v>22</v>
      </c>
      <c r="P240" t="s">
        <v>23</v>
      </c>
      <c r="Q240">
        <v>1</v>
      </c>
    </row>
    <row r="241" spans="1:17" x14ac:dyDescent="0.25">
      <c r="A241">
        <v>240</v>
      </c>
      <c r="B241" t="s">
        <v>1731</v>
      </c>
      <c r="C241" s="2">
        <v>22660</v>
      </c>
      <c r="D241">
        <v>64</v>
      </c>
      <c r="E241" t="s">
        <v>1732</v>
      </c>
      <c r="F241" s="1" t="s">
        <v>120</v>
      </c>
      <c r="G241" t="s">
        <v>121</v>
      </c>
      <c r="H241" t="s">
        <v>62</v>
      </c>
      <c r="I241" s="1" t="s">
        <v>1733</v>
      </c>
      <c r="J241" s="1" t="s">
        <v>1734</v>
      </c>
      <c r="K241" t="s">
        <v>1735</v>
      </c>
      <c r="L241" t="s">
        <v>1736</v>
      </c>
      <c r="M241" t="s">
        <v>27</v>
      </c>
      <c r="N241" t="s">
        <v>88</v>
      </c>
      <c r="O241" t="s">
        <v>35</v>
      </c>
      <c r="P241" t="s">
        <v>23</v>
      </c>
      <c r="Q241">
        <v>1</v>
      </c>
    </row>
    <row r="242" spans="1:17" x14ac:dyDescent="0.25">
      <c r="A242">
        <v>241</v>
      </c>
      <c r="B242" t="s">
        <v>1737</v>
      </c>
      <c r="C242" s="2">
        <v>29629</v>
      </c>
      <c r="D242">
        <v>45</v>
      </c>
      <c r="E242" t="s">
        <v>1738</v>
      </c>
      <c r="F242" s="1" t="s">
        <v>208</v>
      </c>
      <c r="G242" t="s">
        <v>209</v>
      </c>
      <c r="H242" t="s">
        <v>62</v>
      </c>
      <c r="I242" s="1" t="s">
        <v>1739</v>
      </c>
      <c r="J242" s="1" t="s">
        <v>1740</v>
      </c>
      <c r="K242" t="s">
        <v>1741</v>
      </c>
      <c r="L242" t="s">
        <v>1742</v>
      </c>
      <c r="M242" t="s">
        <v>27</v>
      </c>
      <c r="N242" t="s">
        <v>99</v>
      </c>
      <c r="O242" t="s">
        <v>40</v>
      </c>
      <c r="P242" t="s">
        <v>23</v>
      </c>
      <c r="Q242">
        <v>1</v>
      </c>
    </row>
    <row r="243" spans="1:17" x14ac:dyDescent="0.25">
      <c r="A243">
        <v>242</v>
      </c>
      <c r="B243" t="s">
        <v>1743</v>
      </c>
      <c r="C243" s="2">
        <v>23706</v>
      </c>
      <c r="D243">
        <v>62</v>
      </c>
      <c r="E243" t="s">
        <v>1744</v>
      </c>
      <c r="F243" s="1" t="s">
        <v>237</v>
      </c>
      <c r="G243" t="s">
        <v>238</v>
      </c>
      <c r="H243" t="s">
        <v>19</v>
      </c>
      <c r="I243" s="1" t="s">
        <v>1745</v>
      </c>
      <c r="J243" s="1" t="s">
        <v>1746</v>
      </c>
      <c r="K243" t="s">
        <v>1747</v>
      </c>
      <c r="L243" t="s">
        <v>1748</v>
      </c>
      <c r="M243" t="s">
        <v>27</v>
      </c>
      <c r="N243" t="s">
        <v>212</v>
      </c>
      <c r="O243" t="s">
        <v>40</v>
      </c>
      <c r="P243" t="s">
        <v>29</v>
      </c>
      <c r="Q243">
        <v>0</v>
      </c>
    </row>
    <row r="244" spans="1:17" x14ac:dyDescent="0.25">
      <c r="A244">
        <v>243</v>
      </c>
      <c r="B244" t="s">
        <v>1749</v>
      </c>
      <c r="C244" s="2">
        <v>38743</v>
      </c>
      <c r="D244">
        <v>20</v>
      </c>
      <c r="E244" t="s">
        <v>1750</v>
      </c>
      <c r="F244" s="1" t="s">
        <v>163</v>
      </c>
      <c r="G244" t="s">
        <v>164</v>
      </c>
      <c r="H244" t="s">
        <v>32</v>
      </c>
      <c r="I244" s="1" t="s">
        <v>1751</v>
      </c>
      <c r="J244" s="1" t="s">
        <v>1752</v>
      </c>
      <c r="K244" t="s">
        <v>1753</v>
      </c>
      <c r="L244" t="s">
        <v>1754</v>
      </c>
      <c r="M244" t="s">
        <v>27</v>
      </c>
      <c r="N244" t="s">
        <v>193</v>
      </c>
      <c r="O244" t="s">
        <v>35</v>
      </c>
      <c r="P244" t="s">
        <v>29</v>
      </c>
      <c r="Q244">
        <v>0</v>
      </c>
    </row>
    <row r="245" spans="1:17" x14ac:dyDescent="0.25">
      <c r="A245">
        <v>244</v>
      </c>
      <c r="B245" t="s">
        <v>1755</v>
      </c>
      <c r="C245" s="2">
        <v>29317</v>
      </c>
      <c r="D245">
        <v>46</v>
      </c>
      <c r="E245" t="s">
        <v>1756</v>
      </c>
      <c r="F245" s="1" t="s">
        <v>60</v>
      </c>
      <c r="G245" t="s">
        <v>61</v>
      </c>
      <c r="H245" t="s">
        <v>62</v>
      </c>
      <c r="I245" s="1" t="s">
        <v>1757</v>
      </c>
      <c r="J245" s="1" t="s">
        <v>1758</v>
      </c>
      <c r="K245" t="s">
        <v>1759</v>
      </c>
      <c r="L245" t="s">
        <v>1760</v>
      </c>
      <c r="M245" t="s">
        <v>33</v>
      </c>
      <c r="N245" t="s">
        <v>67</v>
      </c>
      <c r="O245" t="s">
        <v>50</v>
      </c>
      <c r="P245" t="s">
        <v>23</v>
      </c>
      <c r="Q245">
        <v>1</v>
      </c>
    </row>
    <row r="246" spans="1:17" x14ac:dyDescent="0.25">
      <c r="A246">
        <v>245</v>
      </c>
      <c r="B246" t="s">
        <v>1761</v>
      </c>
      <c r="C246" s="2">
        <v>39459</v>
      </c>
      <c r="D246">
        <v>18</v>
      </c>
      <c r="E246" t="s">
        <v>1648</v>
      </c>
      <c r="F246" s="1" t="s">
        <v>178</v>
      </c>
      <c r="G246" t="s">
        <v>179</v>
      </c>
      <c r="H246" t="s">
        <v>180</v>
      </c>
      <c r="I246" s="1" t="s">
        <v>1762</v>
      </c>
      <c r="J246" s="1" t="s">
        <v>1763</v>
      </c>
      <c r="K246" t="s">
        <v>1764</v>
      </c>
      <c r="L246" t="s">
        <v>1765</v>
      </c>
      <c r="M246" t="s">
        <v>27</v>
      </c>
      <c r="N246" t="s">
        <v>212</v>
      </c>
      <c r="O246" t="s">
        <v>59</v>
      </c>
      <c r="P246" t="s">
        <v>23</v>
      </c>
      <c r="Q246">
        <v>1</v>
      </c>
    </row>
    <row r="247" spans="1:17" x14ac:dyDescent="0.25">
      <c r="A247">
        <v>246</v>
      </c>
      <c r="B247" t="s">
        <v>1766</v>
      </c>
      <c r="C247" s="2">
        <v>32511</v>
      </c>
      <c r="D247">
        <v>37</v>
      </c>
      <c r="E247" t="s">
        <v>1767</v>
      </c>
      <c r="F247" s="1" t="s">
        <v>30</v>
      </c>
      <c r="G247" t="s">
        <v>31</v>
      </c>
      <c r="H247" t="s">
        <v>32</v>
      </c>
      <c r="I247" s="1" t="s">
        <v>1768</v>
      </c>
      <c r="J247" s="1" t="s">
        <v>1769</v>
      </c>
      <c r="K247" t="s">
        <v>1770</v>
      </c>
      <c r="L247" t="s">
        <v>1771</v>
      </c>
      <c r="M247" t="s">
        <v>33</v>
      </c>
      <c r="N247" t="s">
        <v>21</v>
      </c>
      <c r="O247" t="s">
        <v>50</v>
      </c>
      <c r="P247" t="s">
        <v>23</v>
      </c>
      <c r="Q247">
        <v>1</v>
      </c>
    </row>
    <row r="248" spans="1:17" x14ac:dyDescent="0.25">
      <c r="A248">
        <v>247</v>
      </c>
      <c r="B248" t="s">
        <v>1772</v>
      </c>
      <c r="C248" s="2">
        <v>35413</v>
      </c>
      <c r="D248">
        <v>30</v>
      </c>
      <c r="E248" t="s">
        <v>1773</v>
      </c>
      <c r="F248" s="1" t="s">
        <v>282</v>
      </c>
      <c r="G248" t="s">
        <v>283</v>
      </c>
      <c r="H248" t="s">
        <v>53</v>
      </c>
      <c r="I248" s="1" t="s">
        <v>1774</v>
      </c>
      <c r="J248" s="1" t="s">
        <v>1775</v>
      </c>
      <c r="K248" t="s">
        <v>1776</v>
      </c>
      <c r="L248" t="s">
        <v>1777</v>
      </c>
      <c r="M248" t="s">
        <v>27</v>
      </c>
      <c r="N248" t="s">
        <v>67</v>
      </c>
      <c r="O248" t="s">
        <v>59</v>
      </c>
      <c r="P248" t="s">
        <v>23</v>
      </c>
      <c r="Q248">
        <v>1</v>
      </c>
    </row>
    <row r="249" spans="1:17" x14ac:dyDescent="0.25">
      <c r="A249">
        <v>248</v>
      </c>
      <c r="B249" t="s">
        <v>1778</v>
      </c>
      <c r="C249" s="2">
        <v>33699</v>
      </c>
      <c r="D249">
        <v>34</v>
      </c>
      <c r="E249" t="s">
        <v>1779</v>
      </c>
      <c r="F249" s="1" t="s">
        <v>196</v>
      </c>
      <c r="G249" t="s">
        <v>197</v>
      </c>
      <c r="H249" t="s">
        <v>57</v>
      </c>
      <c r="I249" s="1" t="s">
        <v>1780</v>
      </c>
      <c r="J249" s="1" t="s">
        <v>1781</v>
      </c>
      <c r="K249" t="s">
        <v>1782</v>
      </c>
      <c r="L249" t="s">
        <v>1783</v>
      </c>
      <c r="M249" t="s">
        <v>27</v>
      </c>
      <c r="N249" t="s">
        <v>106</v>
      </c>
      <c r="O249" t="s">
        <v>35</v>
      </c>
      <c r="P249" t="s">
        <v>23</v>
      </c>
      <c r="Q249">
        <v>1</v>
      </c>
    </row>
    <row r="250" spans="1:17" x14ac:dyDescent="0.25">
      <c r="A250">
        <v>249</v>
      </c>
      <c r="B250" t="s">
        <v>1784</v>
      </c>
      <c r="C250" s="2">
        <v>22422</v>
      </c>
      <c r="D250">
        <v>65</v>
      </c>
      <c r="E250" t="s">
        <v>1785</v>
      </c>
      <c r="F250" s="1" t="s">
        <v>163</v>
      </c>
      <c r="G250" t="s">
        <v>164</v>
      </c>
      <c r="H250" t="s">
        <v>32</v>
      </c>
      <c r="I250" s="1" t="s">
        <v>1786</v>
      </c>
      <c r="J250" s="1" t="s">
        <v>1787</v>
      </c>
      <c r="K250" t="s">
        <v>1788</v>
      </c>
      <c r="L250" t="s">
        <v>1789</v>
      </c>
      <c r="M250" t="s">
        <v>33</v>
      </c>
      <c r="N250" t="s">
        <v>39</v>
      </c>
      <c r="O250" t="s">
        <v>40</v>
      </c>
      <c r="P250" t="s">
        <v>23</v>
      </c>
      <c r="Q250">
        <v>1</v>
      </c>
    </row>
    <row r="251" spans="1:17" x14ac:dyDescent="0.25">
      <c r="A251">
        <v>250</v>
      </c>
      <c r="B251" t="s">
        <v>1790</v>
      </c>
      <c r="C251" s="2">
        <v>39311</v>
      </c>
      <c r="D251">
        <v>19</v>
      </c>
      <c r="E251" t="s">
        <v>1791</v>
      </c>
      <c r="F251" s="1" t="s">
        <v>232</v>
      </c>
      <c r="G251" t="s">
        <v>233</v>
      </c>
      <c r="H251" t="s">
        <v>19</v>
      </c>
      <c r="I251" s="1" t="s">
        <v>1792</v>
      </c>
      <c r="J251" s="1" t="s">
        <v>1793</v>
      </c>
      <c r="K251" t="s">
        <v>1794</v>
      </c>
      <c r="L251" t="s">
        <v>1795</v>
      </c>
      <c r="M251" t="s">
        <v>27</v>
      </c>
      <c r="N251" t="s">
        <v>72</v>
      </c>
      <c r="O251" t="s">
        <v>22</v>
      </c>
      <c r="P251" t="s">
        <v>29</v>
      </c>
      <c r="Q251">
        <v>0</v>
      </c>
    </row>
    <row r="252" spans="1:17" x14ac:dyDescent="0.25">
      <c r="A252">
        <v>251</v>
      </c>
      <c r="B252" t="s">
        <v>1796</v>
      </c>
      <c r="C252" s="2">
        <v>26258</v>
      </c>
      <c r="D252">
        <v>55</v>
      </c>
      <c r="E252" t="s">
        <v>1797</v>
      </c>
      <c r="F252" s="1" t="s">
        <v>232</v>
      </c>
      <c r="G252" t="s">
        <v>233</v>
      </c>
      <c r="H252" t="s">
        <v>19</v>
      </c>
      <c r="I252" s="1" t="s">
        <v>1798</v>
      </c>
      <c r="J252" s="1" t="s">
        <v>1799</v>
      </c>
      <c r="K252" t="s">
        <v>1800</v>
      </c>
      <c r="L252" t="s">
        <v>1801</v>
      </c>
      <c r="M252" t="s">
        <v>27</v>
      </c>
      <c r="N252" t="s">
        <v>193</v>
      </c>
      <c r="O252" t="s">
        <v>59</v>
      </c>
      <c r="P252" t="s">
        <v>23</v>
      </c>
      <c r="Q252">
        <v>7</v>
      </c>
    </row>
    <row r="253" spans="1:17" x14ac:dyDescent="0.25">
      <c r="A253">
        <v>252</v>
      </c>
      <c r="B253" t="s">
        <v>1802</v>
      </c>
      <c r="C253" s="2">
        <v>36243</v>
      </c>
      <c r="D253">
        <v>27</v>
      </c>
      <c r="E253" t="s">
        <v>1803</v>
      </c>
      <c r="F253" s="1" t="s">
        <v>140</v>
      </c>
      <c r="G253" t="s">
        <v>141</v>
      </c>
      <c r="H253" t="s">
        <v>110</v>
      </c>
      <c r="I253" s="1" t="s">
        <v>1804</v>
      </c>
      <c r="J253" s="1" t="s">
        <v>1805</v>
      </c>
      <c r="K253" t="s">
        <v>1806</v>
      </c>
      <c r="L253" t="s">
        <v>1807</v>
      </c>
      <c r="M253" t="s">
        <v>27</v>
      </c>
      <c r="N253" t="s">
        <v>99</v>
      </c>
      <c r="O253" t="s">
        <v>50</v>
      </c>
      <c r="P253" t="s">
        <v>23</v>
      </c>
      <c r="Q253">
        <v>3</v>
      </c>
    </row>
    <row r="254" spans="1:17" x14ac:dyDescent="0.25">
      <c r="A254">
        <v>253</v>
      </c>
      <c r="B254" t="s">
        <v>1808</v>
      </c>
      <c r="C254" s="2">
        <v>32306</v>
      </c>
      <c r="D254">
        <v>38</v>
      </c>
      <c r="E254" t="s">
        <v>1809</v>
      </c>
      <c r="F254" s="1" t="s">
        <v>115</v>
      </c>
      <c r="G254" t="s">
        <v>116</v>
      </c>
      <c r="H254" t="s">
        <v>43</v>
      </c>
      <c r="I254" s="1" t="s">
        <v>1810</v>
      </c>
      <c r="J254" s="1" t="s">
        <v>1811</v>
      </c>
      <c r="K254" t="s">
        <v>1812</v>
      </c>
      <c r="L254" t="s">
        <v>1813</v>
      </c>
      <c r="M254" t="s">
        <v>27</v>
      </c>
      <c r="N254" t="s">
        <v>78</v>
      </c>
      <c r="O254" t="s">
        <v>22</v>
      </c>
      <c r="P254" t="s">
        <v>23</v>
      </c>
      <c r="Q254">
        <v>1</v>
      </c>
    </row>
    <row r="255" spans="1:17" x14ac:dyDescent="0.25">
      <c r="A255">
        <v>254</v>
      </c>
      <c r="B255" t="s">
        <v>1814</v>
      </c>
      <c r="C255" s="2">
        <v>22809</v>
      </c>
      <c r="D255">
        <v>64</v>
      </c>
      <c r="E255" t="s">
        <v>1815</v>
      </c>
      <c r="F255" s="1" t="s">
        <v>170</v>
      </c>
      <c r="G255" t="s">
        <v>171</v>
      </c>
      <c r="H255" t="s">
        <v>57</v>
      </c>
      <c r="I255" s="1" t="s">
        <v>1816</v>
      </c>
      <c r="J255" s="1" t="s">
        <v>1817</v>
      </c>
      <c r="K255" t="s">
        <v>1818</v>
      </c>
      <c r="L255" t="s">
        <v>1819</v>
      </c>
      <c r="M255" t="s">
        <v>27</v>
      </c>
      <c r="N255" t="s">
        <v>99</v>
      </c>
      <c r="O255" t="s">
        <v>35</v>
      </c>
      <c r="P255" t="s">
        <v>23</v>
      </c>
      <c r="Q255">
        <v>3</v>
      </c>
    </row>
    <row r="256" spans="1:17" x14ac:dyDescent="0.25">
      <c r="A256">
        <v>255</v>
      </c>
      <c r="B256" t="s">
        <v>1820</v>
      </c>
      <c r="C256" s="2">
        <v>28273</v>
      </c>
      <c r="D256">
        <v>49</v>
      </c>
      <c r="E256" t="s">
        <v>1821</v>
      </c>
      <c r="F256" s="1" t="s">
        <v>187</v>
      </c>
      <c r="G256" t="s">
        <v>188</v>
      </c>
      <c r="H256" t="s">
        <v>110</v>
      </c>
      <c r="I256" s="1" t="s">
        <v>1822</v>
      </c>
      <c r="J256" s="1" t="s">
        <v>1823</v>
      </c>
      <c r="K256" t="s">
        <v>1824</v>
      </c>
      <c r="L256" t="s">
        <v>1825</v>
      </c>
      <c r="M256" t="s">
        <v>20</v>
      </c>
      <c r="N256" t="s">
        <v>150</v>
      </c>
      <c r="O256" t="s">
        <v>22</v>
      </c>
      <c r="P256" t="s">
        <v>23</v>
      </c>
      <c r="Q256">
        <v>3</v>
      </c>
    </row>
    <row r="257" spans="1:17" x14ac:dyDescent="0.25">
      <c r="A257">
        <v>256</v>
      </c>
      <c r="B257" t="s">
        <v>1826</v>
      </c>
      <c r="C257" s="2">
        <v>38438</v>
      </c>
      <c r="D257">
        <v>21</v>
      </c>
      <c r="E257" t="s">
        <v>1827</v>
      </c>
      <c r="F257" s="1" t="s">
        <v>140</v>
      </c>
      <c r="G257" t="s">
        <v>141</v>
      </c>
      <c r="H257" t="s">
        <v>110</v>
      </c>
      <c r="I257" s="1" t="s">
        <v>1828</v>
      </c>
      <c r="J257" s="1" t="s">
        <v>1829</v>
      </c>
      <c r="K257" t="s">
        <v>1830</v>
      </c>
      <c r="L257" t="s">
        <v>1831</v>
      </c>
      <c r="M257" t="s">
        <v>48</v>
      </c>
      <c r="N257" t="s">
        <v>212</v>
      </c>
      <c r="O257" t="s">
        <v>22</v>
      </c>
      <c r="P257" t="s">
        <v>29</v>
      </c>
      <c r="Q257">
        <v>0</v>
      </c>
    </row>
    <row r="258" spans="1:17" x14ac:dyDescent="0.25">
      <c r="A258">
        <v>257</v>
      </c>
      <c r="B258" t="s">
        <v>1832</v>
      </c>
      <c r="C258" s="2">
        <v>28880</v>
      </c>
      <c r="D258">
        <v>47</v>
      </c>
      <c r="E258" t="s">
        <v>1833</v>
      </c>
      <c r="F258" s="1" t="s">
        <v>100</v>
      </c>
      <c r="G258" t="s">
        <v>101</v>
      </c>
      <c r="H258" t="s">
        <v>26</v>
      </c>
      <c r="I258" s="1" t="s">
        <v>1834</v>
      </c>
      <c r="J258" s="1" t="s">
        <v>1835</v>
      </c>
      <c r="K258" t="s">
        <v>1836</v>
      </c>
      <c r="L258" t="s">
        <v>1837</v>
      </c>
      <c r="M258" t="s">
        <v>27</v>
      </c>
      <c r="N258" t="s">
        <v>72</v>
      </c>
      <c r="O258" t="s">
        <v>50</v>
      </c>
      <c r="P258" t="s">
        <v>23</v>
      </c>
      <c r="Q258">
        <v>1</v>
      </c>
    </row>
    <row r="259" spans="1:17" x14ac:dyDescent="0.25">
      <c r="A259">
        <v>258</v>
      </c>
      <c r="B259" t="s">
        <v>1838</v>
      </c>
      <c r="C259" s="2">
        <v>38963</v>
      </c>
      <c r="D259">
        <v>20</v>
      </c>
      <c r="E259" t="s">
        <v>1839</v>
      </c>
      <c r="F259" s="1" t="s">
        <v>228</v>
      </c>
      <c r="G259" t="s">
        <v>229</v>
      </c>
      <c r="H259" t="s">
        <v>126</v>
      </c>
      <c r="I259" s="1" t="s">
        <v>1840</v>
      </c>
      <c r="J259" s="1" t="s">
        <v>1841</v>
      </c>
      <c r="K259" t="s">
        <v>1842</v>
      </c>
      <c r="L259" t="s">
        <v>1843</v>
      </c>
      <c r="M259" t="s">
        <v>48</v>
      </c>
      <c r="N259" t="s">
        <v>78</v>
      </c>
      <c r="O259" t="s">
        <v>59</v>
      </c>
      <c r="P259" t="s">
        <v>29</v>
      </c>
      <c r="Q259">
        <v>0</v>
      </c>
    </row>
    <row r="260" spans="1:17" x14ac:dyDescent="0.25">
      <c r="A260">
        <v>259</v>
      </c>
      <c r="B260" t="s">
        <v>1844</v>
      </c>
      <c r="C260" s="2">
        <v>34892</v>
      </c>
      <c r="D260">
        <v>31</v>
      </c>
      <c r="E260" t="s">
        <v>1845</v>
      </c>
      <c r="F260" s="1" t="s">
        <v>181</v>
      </c>
      <c r="G260" t="s">
        <v>182</v>
      </c>
      <c r="H260" t="s">
        <v>38</v>
      </c>
      <c r="I260" s="1" t="s">
        <v>1846</v>
      </c>
      <c r="J260" s="1" t="s">
        <v>1847</v>
      </c>
      <c r="K260" t="s">
        <v>1848</v>
      </c>
      <c r="L260" t="s">
        <v>1849</v>
      </c>
      <c r="M260" t="s">
        <v>48</v>
      </c>
      <c r="N260" t="s">
        <v>21</v>
      </c>
      <c r="O260" t="s">
        <v>59</v>
      </c>
      <c r="P260" t="s">
        <v>29</v>
      </c>
      <c r="Q260">
        <v>0</v>
      </c>
    </row>
    <row r="261" spans="1:17" x14ac:dyDescent="0.25">
      <c r="A261">
        <v>260</v>
      </c>
      <c r="B261" t="s">
        <v>1850</v>
      </c>
      <c r="C261" s="2">
        <v>23850</v>
      </c>
      <c r="D261">
        <v>61</v>
      </c>
      <c r="E261" t="s">
        <v>1851</v>
      </c>
      <c r="F261" s="1" t="s">
        <v>278</v>
      </c>
      <c r="G261" t="s">
        <v>279</v>
      </c>
      <c r="H261" t="s">
        <v>26</v>
      </c>
      <c r="I261" s="1" t="s">
        <v>1852</v>
      </c>
      <c r="J261" s="1" t="s">
        <v>1853</v>
      </c>
      <c r="K261" t="s">
        <v>1854</v>
      </c>
      <c r="L261" t="s">
        <v>1855</v>
      </c>
      <c r="M261" t="s">
        <v>27</v>
      </c>
      <c r="N261" t="s">
        <v>82</v>
      </c>
      <c r="O261" t="s">
        <v>22</v>
      </c>
      <c r="P261" t="s">
        <v>23</v>
      </c>
      <c r="Q261">
        <v>1</v>
      </c>
    </row>
    <row r="262" spans="1:17" x14ac:dyDescent="0.25">
      <c r="A262">
        <v>261</v>
      </c>
      <c r="B262" t="s">
        <v>1856</v>
      </c>
      <c r="C262" s="2">
        <v>34445</v>
      </c>
      <c r="D262">
        <v>32</v>
      </c>
      <c r="E262" t="s">
        <v>1857</v>
      </c>
      <c r="F262" s="1" t="s">
        <v>115</v>
      </c>
      <c r="G262" t="s">
        <v>116</v>
      </c>
      <c r="H262" t="s">
        <v>43</v>
      </c>
      <c r="I262" s="1" t="s">
        <v>1858</v>
      </c>
      <c r="J262" s="1" t="s">
        <v>1859</v>
      </c>
      <c r="K262" t="s">
        <v>1860</v>
      </c>
      <c r="L262" t="s">
        <v>1861</v>
      </c>
      <c r="M262" t="s">
        <v>27</v>
      </c>
      <c r="N262" t="s">
        <v>34</v>
      </c>
      <c r="O262" t="s">
        <v>59</v>
      </c>
      <c r="P262" t="s">
        <v>23</v>
      </c>
      <c r="Q262">
        <v>2</v>
      </c>
    </row>
    <row r="263" spans="1:17" x14ac:dyDescent="0.25">
      <c r="A263">
        <v>262</v>
      </c>
      <c r="B263" t="s">
        <v>1862</v>
      </c>
      <c r="C263" s="2">
        <v>39380</v>
      </c>
      <c r="D263">
        <v>19</v>
      </c>
      <c r="E263" t="s">
        <v>1863</v>
      </c>
      <c r="F263" s="1" t="s">
        <v>102</v>
      </c>
      <c r="G263" t="s">
        <v>103</v>
      </c>
      <c r="H263" t="s">
        <v>104</v>
      </c>
      <c r="I263" s="1" t="s">
        <v>1864</v>
      </c>
      <c r="J263" s="1" t="s">
        <v>1865</v>
      </c>
      <c r="K263" t="s">
        <v>1866</v>
      </c>
      <c r="L263" t="s">
        <v>1867</v>
      </c>
      <c r="M263" t="s">
        <v>48</v>
      </c>
      <c r="N263" t="s">
        <v>78</v>
      </c>
      <c r="O263" t="s">
        <v>59</v>
      </c>
      <c r="P263" t="s">
        <v>29</v>
      </c>
      <c r="Q263">
        <v>0</v>
      </c>
    </row>
    <row r="264" spans="1:17" x14ac:dyDescent="0.25">
      <c r="A264">
        <v>263</v>
      </c>
      <c r="B264" t="s">
        <v>1868</v>
      </c>
      <c r="C264" s="2">
        <v>23521</v>
      </c>
      <c r="D264">
        <v>62</v>
      </c>
      <c r="E264" t="s">
        <v>1869</v>
      </c>
      <c r="F264" s="1" t="s">
        <v>174</v>
      </c>
      <c r="G264" t="s">
        <v>175</v>
      </c>
      <c r="H264" t="s">
        <v>19</v>
      </c>
      <c r="I264" s="1" t="s">
        <v>1870</v>
      </c>
      <c r="J264" s="1" t="s">
        <v>1871</v>
      </c>
      <c r="K264" t="s">
        <v>1872</v>
      </c>
      <c r="L264" t="s">
        <v>1873</v>
      </c>
      <c r="M264" t="s">
        <v>33</v>
      </c>
      <c r="N264" t="s">
        <v>212</v>
      </c>
      <c r="O264" t="s">
        <v>22</v>
      </c>
      <c r="P264" t="s">
        <v>23</v>
      </c>
      <c r="Q264">
        <v>9</v>
      </c>
    </row>
    <row r="265" spans="1:17" x14ac:dyDescent="0.25">
      <c r="A265">
        <v>264</v>
      </c>
      <c r="B265" t="s">
        <v>1874</v>
      </c>
      <c r="C265" s="2">
        <v>35681</v>
      </c>
      <c r="D265">
        <v>29</v>
      </c>
      <c r="E265" t="s">
        <v>1875</v>
      </c>
      <c r="F265" s="1" t="s">
        <v>144</v>
      </c>
      <c r="G265" t="s">
        <v>145</v>
      </c>
      <c r="H265" t="s">
        <v>119</v>
      </c>
      <c r="I265" s="1" t="s">
        <v>1876</v>
      </c>
      <c r="J265" s="1" t="s">
        <v>1877</v>
      </c>
      <c r="K265" t="s">
        <v>1878</v>
      </c>
      <c r="L265" t="s">
        <v>1879</v>
      </c>
      <c r="M265" t="s">
        <v>27</v>
      </c>
      <c r="N265" t="s">
        <v>34</v>
      </c>
      <c r="O265" t="s">
        <v>40</v>
      </c>
      <c r="P265" t="s">
        <v>23</v>
      </c>
      <c r="Q265">
        <v>2</v>
      </c>
    </row>
    <row r="266" spans="1:17" x14ac:dyDescent="0.25">
      <c r="A266">
        <v>265</v>
      </c>
      <c r="B266" t="s">
        <v>1880</v>
      </c>
      <c r="C266" s="2">
        <v>29056</v>
      </c>
      <c r="D266">
        <v>47</v>
      </c>
      <c r="E266" t="s">
        <v>1881</v>
      </c>
      <c r="F266" s="1" t="s">
        <v>282</v>
      </c>
      <c r="G266" t="s">
        <v>283</v>
      </c>
      <c r="H266" t="s">
        <v>53</v>
      </c>
      <c r="I266" s="1" t="s">
        <v>1882</v>
      </c>
      <c r="J266" s="1" t="s">
        <v>1883</v>
      </c>
      <c r="K266" t="s">
        <v>1884</v>
      </c>
      <c r="L266" t="s">
        <v>1885</v>
      </c>
      <c r="M266" t="s">
        <v>33</v>
      </c>
      <c r="N266" t="s">
        <v>49</v>
      </c>
      <c r="O266" t="s">
        <v>59</v>
      </c>
      <c r="P266" t="s">
        <v>23</v>
      </c>
      <c r="Q266">
        <v>3</v>
      </c>
    </row>
    <row r="267" spans="1:17" x14ac:dyDescent="0.25">
      <c r="A267">
        <v>266</v>
      </c>
      <c r="B267" t="s">
        <v>1886</v>
      </c>
      <c r="C267" s="2">
        <v>30993</v>
      </c>
      <c r="D267">
        <v>42</v>
      </c>
      <c r="E267" t="s">
        <v>1887</v>
      </c>
      <c r="F267" s="1" t="s">
        <v>129</v>
      </c>
      <c r="G267" t="s">
        <v>130</v>
      </c>
      <c r="H267" t="s">
        <v>77</v>
      </c>
      <c r="I267" s="1" t="s">
        <v>1888</v>
      </c>
      <c r="J267" s="1" t="s">
        <v>1889</v>
      </c>
      <c r="K267" t="s">
        <v>1890</v>
      </c>
      <c r="L267" t="s">
        <v>1891</v>
      </c>
      <c r="M267" t="s">
        <v>27</v>
      </c>
      <c r="N267" t="s">
        <v>106</v>
      </c>
      <c r="O267" t="s">
        <v>50</v>
      </c>
      <c r="P267" t="s">
        <v>23</v>
      </c>
      <c r="Q267">
        <v>2</v>
      </c>
    </row>
    <row r="268" spans="1:17" x14ac:dyDescent="0.25">
      <c r="A268">
        <v>267</v>
      </c>
      <c r="B268" t="s">
        <v>1892</v>
      </c>
      <c r="C268" s="2">
        <v>28482</v>
      </c>
      <c r="D268">
        <v>49</v>
      </c>
      <c r="E268" t="s">
        <v>294</v>
      </c>
      <c r="F268" s="1" t="s">
        <v>120</v>
      </c>
      <c r="G268" t="s">
        <v>121</v>
      </c>
      <c r="H268" t="s">
        <v>62</v>
      </c>
      <c r="I268" s="1" t="s">
        <v>1893</v>
      </c>
      <c r="J268" s="1" t="s">
        <v>1894</v>
      </c>
      <c r="K268" t="s">
        <v>1895</v>
      </c>
      <c r="L268" t="s">
        <v>1896</v>
      </c>
      <c r="M268" t="s">
        <v>27</v>
      </c>
      <c r="N268" t="s">
        <v>67</v>
      </c>
      <c r="O268" t="s">
        <v>35</v>
      </c>
      <c r="P268" t="s">
        <v>29</v>
      </c>
      <c r="Q268">
        <v>0</v>
      </c>
    </row>
    <row r="269" spans="1:17" x14ac:dyDescent="0.25">
      <c r="A269">
        <v>268</v>
      </c>
      <c r="B269" t="s">
        <v>1897</v>
      </c>
      <c r="C269" s="2">
        <v>38608</v>
      </c>
      <c r="D269">
        <v>21</v>
      </c>
      <c r="E269" t="s">
        <v>1898</v>
      </c>
      <c r="F269" s="1" t="s">
        <v>155</v>
      </c>
      <c r="G269" t="s">
        <v>156</v>
      </c>
      <c r="H269" t="s">
        <v>126</v>
      </c>
      <c r="I269" s="1" t="s">
        <v>1899</v>
      </c>
      <c r="J269" s="1" t="s">
        <v>1900</v>
      </c>
      <c r="K269" t="s">
        <v>1901</v>
      </c>
      <c r="L269" t="s">
        <v>1902</v>
      </c>
      <c r="M269" t="s">
        <v>48</v>
      </c>
      <c r="N269" t="s">
        <v>82</v>
      </c>
      <c r="O269" t="s">
        <v>59</v>
      </c>
      <c r="P269" t="s">
        <v>29</v>
      </c>
      <c r="Q269">
        <v>0</v>
      </c>
    </row>
    <row r="270" spans="1:17" x14ac:dyDescent="0.25">
      <c r="A270">
        <v>269</v>
      </c>
      <c r="B270" t="s">
        <v>1903</v>
      </c>
      <c r="C270" s="2">
        <v>29205</v>
      </c>
      <c r="D270">
        <v>47</v>
      </c>
      <c r="E270" t="s">
        <v>1904</v>
      </c>
      <c r="F270" s="1" t="s">
        <v>36</v>
      </c>
      <c r="G270" t="s">
        <v>37</v>
      </c>
      <c r="H270" t="s">
        <v>38</v>
      </c>
      <c r="I270" s="1" t="s">
        <v>1905</v>
      </c>
      <c r="J270" s="1" t="s">
        <v>1906</v>
      </c>
      <c r="K270" t="s">
        <v>1907</v>
      </c>
      <c r="L270" t="s">
        <v>1908</v>
      </c>
      <c r="M270" t="s">
        <v>33</v>
      </c>
      <c r="N270" t="s">
        <v>54</v>
      </c>
      <c r="O270" t="s">
        <v>22</v>
      </c>
      <c r="P270" t="s">
        <v>23</v>
      </c>
      <c r="Q270">
        <v>1</v>
      </c>
    </row>
    <row r="271" spans="1:17" x14ac:dyDescent="0.25">
      <c r="A271">
        <v>270</v>
      </c>
      <c r="B271" t="s">
        <v>1909</v>
      </c>
      <c r="C271" s="2">
        <v>39359</v>
      </c>
      <c r="D271">
        <v>19</v>
      </c>
      <c r="E271" t="s">
        <v>1910</v>
      </c>
      <c r="F271" s="1" t="s">
        <v>41</v>
      </c>
      <c r="G271" t="s">
        <v>42</v>
      </c>
      <c r="H271" t="s">
        <v>43</v>
      </c>
      <c r="I271" s="1" t="s">
        <v>1911</v>
      </c>
      <c r="J271" s="1" t="s">
        <v>1912</v>
      </c>
      <c r="K271" t="s">
        <v>1913</v>
      </c>
      <c r="L271" t="s">
        <v>1914</v>
      </c>
      <c r="M271" t="s">
        <v>33</v>
      </c>
      <c r="N271" t="s">
        <v>44</v>
      </c>
      <c r="O271" t="s">
        <v>35</v>
      </c>
      <c r="P271" t="s">
        <v>23</v>
      </c>
      <c r="Q271">
        <v>3</v>
      </c>
    </row>
    <row r="272" spans="1:17" x14ac:dyDescent="0.25">
      <c r="A272">
        <v>271</v>
      </c>
      <c r="B272" t="s">
        <v>1915</v>
      </c>
      <c r="C272" s="2">
        <v>28330</v>
      </c>
      <c r="D272">
        <v>49</v>
      </c>
      <c r="E272" t="s">
        <v>1916</v>
      </c>
      <c r="F272" s="1" t="s">
        <v>215</v>
      </c>
      <c r="G272" t="s">
        <v>216</v>
      </c>
      <c r="H272" t="s">
        <v>113</v>
      </c>
      <c r="I272" s="1" t="s">
        <v>1917</v>
      </c>
      <c r="J272" s="1" t="s">
        <v>1918</v>
      </c>
      <c r="K272" t="s">
        <v>1919</v>
      </c>
      <c r="L272" t="s">
        <v>1920</v>
      </c>
      <c r="M272" t="s">
        <v>27</v>
      </c>
      <c r="N272" t="s">
        <v>49</v>
      </c>
      <c r="O272" t="s">
        <v>50</v>
      </c>
      <c r="P272" t="s">
        <v>23</v>
      </c>
      <c r="Q272">
        <v>1</v>
      </c>
    </row>
    <row r="273" spans="1:17" x14ac:dyDescent="0.25">
      <c r="A273">
        <v>272</v>
      </c>
      <c r="B273" t="s">
        <v>1921</v>
      </c>
      <c r="C273" s="2">
        <v>29817</v>
      </c>
      <c r="D273">
        <v>45</v>
      </c>
      <c r="E273" t="s">
        <v>1922</v>
      </c>
      <c r="F273" s="1" t="s">
        <v>178</v>
      </c>
      <c r="G273" t="s">
        <v>179</v>
      </c>
      <c r="H273" t="s">
        <v>180</v>
      </c>
      <c r="I273" s="1" t="s">
        <v>1923</v>
      </c>
      <c r="J273" s="1" t="s">
        <v>1924</v>
      </c>
      <c r="K273" t="s">
        <v>1925</v>
      </c>
      <c r="L273" t="s">
        <v>1926</v>
      </c>
      <c r="M273" t="s">
        <v>33</v>
      </c>
      <c r="N273" t="s">
        <v>58</v>
      </c>
      <c r="O273" t="s">
        <v>22</v>
      </c>
      <c r="P273" t="s">
        <v>29</v>
      </c>
      <c r="Q273">
        <v>0</v>
      </c>
    </row>
    <row r="274" spans="1:17" x14ac:dyDescent="0.25">
      <c r="A274">
        <v>273</v>
      </c>
      <c r="B274" t="s">
        <v>1927</v>
      </c>
      <c r="C274" s="2">
        <v>32644</v>
      </c>
      <c r="D274">
        <v>37</v>
      </c>
      <c r="E274" t="s">
        <v>1928</v>
      </c>
      <c r="F274" s="1" t="s">
        <v>41</v>
      </c>
      <c r="G274" t="s">
        <v>42</v>
      </c>
      <c r="H274" t="s">
        <v>43</v>
      </c>
      <c r="I274" s="1" t="s">
        <v>1929</v>
      </c>
      <c r="J274" s="1" t="s">
        <v>1930</v>
      </c>
      <c r="K274" t="s">
        <v>1931</v>
      </c>
      <c r="L274" t="s">
        <v>1932</v>
      </c>
      <c r="M274" t="s">
        <v>20</v>
      </c>
      <c r="N274" t="s">
        <v>150</v>
      </c>
      <c r="O274" t="s">
        <v>22</v>
      </c>
      <c r="P274" t="s">
        <v>29</v>
      </c>
      <c r="Q274">
        <v>0</v>
      </c>
    </row>
    <row r="275" spans="1:17" x14ac:dyDescent="0.25">
      <c r="A275">
        <v>274</v>
      </c>
      <c r="B275" t="s">
        <v>1933</v>
      </c>
      <c r="C275" s="2">
        <v>30729</v>
      </c>
      <c r="D275">
        <v>42</v>
      </c>
      <c r="E275" t="s">
        <v>1934</v>
      </c>
      <c r="F275" s="1" t="s">
        <v>228</v>
      </c>
      <c r="G275" t="s">
        <v>229</v>
      </c>
      <c r="H275" t="s">
        <v>126</v>
      </c>
      <c r="I275" s="1" t="s">
        <v>1935</v>
      </c>
      <c r="J275" s="1" t="s">
        <v>1936</v>
      </c>
      <c r="K275" t="s">
        <v>1937</v>
      </c>
      <c r="L275" t="s">
        <v>1938</v>
      </c>
      <c r="M275" t="s">
        <v>27</v>
      </c>
      <c r="N275" t="s">
        <v>66</v>
      </c>
      <c r="O275" t="s">
        <v>22</v>
      </c>
      <c r="P275" t="s">
        <v>23</v>
      </c>
      <c r="Q275">
        <v>5</v>
      </c>
    </row>
    <row r="276" spans="1:17" x14ac:dyDescent="0.25">
      <c r="A276">
        <v>275</v>
      </c>
      <c r="B276" t="s">
        <v>1939</v>
      </c>
      <c r="C276" s="2">
        <v>34215</v>
      </c>
      <c r="D276">
        <v>33</v>
      </c>
      <c r="E276" t="s">
        <v>1940</v>
      </c>
      <c r="F276" s="1" t="s">
        <v>60</v>
      </c>
      <c r="G276" t="s">
        <v>61</v>
      </c>
      <c r="H276" t="s">
        <v>62</v>
      </c>
      <c r="I276" s="1" t="s">
        <v>1941</v>
      </c>
      <c r="J276" s="1" t="s">
        <v>1942</v>
      </c>
      <c r="K276" t="s">
        <v>1943</v>
      </c>
      <c r="L276" t="s">
        <v>1944</v>
      </c>
      <c r="M276" t="s">
        <v>33</v>
      </c>
      <c r="N276" t="s">
        <v>28</v>
      </c>
      <c r="O276" t="s">
        <v>40</v>
      </c>
      <c r="P276" t="s">
        <v>29</v>
      </c>
      <c r="Q276">
        <v>0</v>
      </c>
    </row>
    <row r="277" spans="1:17" x14ac:dyDescent="0.25">
      <c r="A277">
        <v>276</v>
      </c>
      <c r="B277" t="s">
        <v>1945</v>
      </c>
      <c r="C277" s="2">
        <v>27490</v>
      </c>
      <c r="D277">
        <v>51</v>
      </c>
      <c r="E277" t="s">
        <v>1946</v>
      </c>
      <c r="F277" s="1" t="s">
        <v>234</v>
      </c>
      <c r="G277" t="s">
        <v>235</v>
      </c>
      <c r="H277" t="s">
        <v>236</v>
      </c>
      <c r="I277" s="1" t="s">
        <v>1947</v>
      </c>
      <c r="J277" s="1" t="s">
        <v>1948</v>
      </c>
      <c r="K277" t="s">
        <v>1949</v>
      </c>
      <c r="L277" t="s">
        <v>1950</v>
      </c>
      <c r="M277" t="s">
        <v>27</v>
      </c>
      <c r="N277" t="s">
        <v>78</v>
      </c>
      <c r="O277" t="s">
        <v>35</v>
      </c>
      <c r="P277" t="s">
        <v>29</v>
      </c>
      <c r="Q277">
        <v>0</v>
      </c>
    </row>
    <row r="278" spans="1:17" x14ac:dyDescent="0.25">
      <c r="A278">
        <v>277</v>
      </c>
      <c r="B278" t="s">
        <v>1951</v>
      </c>
      <c r="C278" s="2">
        <v>30068</v>
      </c>
      <c r="D278">
        <v>44</v>
      </c>
      <c r="E278" t="s">
        <v>1952</v>
      </c>
      <c r="F278" s="1" t="s">
        <v>266</v>
      </c>
      <c r="G278" t="s">
        <v>267</v>
      </c>
      <c r="H278" t="s">
        <v>65</v>
      </c>
      <c r="I278" s="1" t="s">
        <v>1953</v>
      </c>
      <c r="J278" s="1" t="s">
        <v>1954</v>
      </c>
      <c r="K278" t="s">
        <v>1955</v>
      </c>
      <c r="L278" t="s">
        <v>1956</v>
      </c>
      <c r="M278" t="s">
        <v>27</v>
      </c>
      <c r="N278" t="s">
        <v>99</v>
      </c>
      <c r="O278" t="s">
        <v>40</v>
      </c>
      <c r="P278" t="s">
        <v>29</v>
      </c>
      <c r="Q278">
        <v>0</v>
      </c>
    </row>
    <row r="279" spans="1:17" x14ac:dyDescent="0.25">
      <c r="A279">
        <v>278</v>
      </c>
      <c r="B279" t="s">
        <v>1957</v>
      </c>
      <c r="C279" s="2">
        <v>36957</v>
      </c>
      <c r="D279">
        <v>25</v>
      </c>
      <c r="E279" t="s">
        <v>1958</v>
      </c>
      <c r="F279" s="1" t="s">
        <v>239</v>
      </c>
      <c r="G279" t="s">
        <v>240</v>
      </c>
      <c r="H279" t="s">
        <v>119</v>
      </c>
      <c r="I279" s="1" t="s">
        <v>1959</v>
      </c>
      <c r="J279" s="1" t="s">
        <v>1960</v>
      </c>
      <c r="K279" t="s">
        <v>1961</v>
      </c>
      <c r="L279" t="s">
        <v>1962</v>
      </c>
      <c r="M279" t="s">
        <v>27</v>
      </c>
      <c r="N279" t="s">
        <v>212</v>
      </c>
      <c r="O279" t="s">
        <v>22</v>
      </c>
      <c r="P279" t="s">
        <v>23</v>
      </c>
      <c r="Q279">
        <v>5</v>
      </c>
    </row>
    <row r="280" spans="1:17" x14ac:dyDescent="0.25">
      <c r="A280">
        <v>279</v>
      </c>
      <c r="B280" t="s">
        <v>1963</v>
      </c>
      <c r="C280" s="2">
        <v>35599</v>
      </c>
      <c r="D280">
        <v>29</v>
      </c>
      <c r="E280" t="s">
        <v>1964</v>
      </c>
      <c r="F280" s="1" t="s">
        <v>260</v>
      </c>
      <c r="G280" t="s">
        <v>261</v>
      </c>
      <c r="H280" t="s">
        <v>47</v>
      </c>
      <c r="I280" s="1" t="s">
        <v>1965</v>
      </c>
      <c r="J280" s="1" t="s">
        <v>1966</v>
      </c>
      <c r="K280" t="s">
        <v>1967</v>
      </c>
      <c r="L280" t="s">
        <v>1968</v>
      </c>
      <c r="M280" t="s">
        <v>33</v>
      </c>
      <c r="N280" t="s">
        <v>39</v>
      </c>
      <c r="O280" t="s">
        <v>50</v>
      </c>
      <c r="P280" t="s">
        <v>29</v>
      </c>
      <c r="Q280">
        <v>0</v>
      </c>
    </row>
    <row r="281" spans="1:17" x14ac:dyDescent="0.25">
      <c r="A281">
        <v>280</v>
      </c>
      <c r="B281" t="s">
        <v>1969</v>
      </c>
      <c r="C281" s="2">
        <v>23647</v>
      </c>
      <c r="D281">
        <v>62</v>
      </c>
      <c r="E281" t="s">
        <v>1970</v>
      </c>
      <c r="F281" s="1" t="s">
        <v>148</v>
      </c>
      <c r="G281" t="s">
        <v>149</v>
      </c>
      <c r="H281" t="s">
        <v>71</v>
      </c>
      <c r="I281" s="1" t="s">
        <v>1971</v>
      </c>
      <c r="J281" s="1" t="s">
        <v>1972</v>
      </c>
      <c r="K281" t="s">
        <v>1973</v>
      </c>
      <c r="L281" t="s">
        <v>1974</v>
      </c>
      <c r="M281" t="s">
        <v>27</v>
      </c>
      <c r="N281" t="s">
        <v>67</v>
      </c>
      <c r="O281" t="s">
        <v>40</v>
      </c>
      <c r="P281" t="s">
        <v>23</v>
      </c>
      <c r="Q281">
        <v>10</v>
      </c>
    </row>
    <row r="282" spans="1:17" x14ac:dyDescent="0.25">
      <c r="A282">
        <v>281</v>
      </c>
      <c r="B282" t="s">
        <v>1975</v>
      </c>
      <c r="C282" s="2">
        <v>33614</v>
      </c>
      <c r="D282">
        <v>34</v>
      </c>
      <c r="E282" t="s">
        <v>1976</v>
      </c>
      <c r="F282" s="1" t="s">
        <v>210</v>
      </c>
      <c r="G282" t="s">
        <v>211</v>
      </c>
      <c r="H282" t="s">
        <v>57</v>
      </c>
      <c r="I282" s="1" t="s">
        <v>1977</v>
      </c>
      <c r="J282" s="1" t="s">
        <v>1978</v>
      </c>
      <c r="K282" t="s">
        <v>1979</v>
      </c>
      <c r="L282" t="s">
        <v>1980</v>
      </c>
      <c r="M282" t="s">
        <v>48</v>
      </c>
      <c r="N282" t="s">
        <v>82</v>
      </c>
      <c r="O282" t="s">
        <v>50</v>
      </c>
      <c r="P282" t="s">
        <v>23</v>
      </c>
      <c r="Q282">
        <v>2</v>
      </c>
    </row>
    <row r="283" spans="1:17" x14ac:dyDescent="0.25">
      <c r="A283">
        <v>282</v>
      </c>
      <c r="B283" t="s">
        <v>1981</v>
      </c>
      <c r="C283" s="2">
        <v>29033</v>
      </c>
      <c r="D283">
        <v>47</v>
      </c>
      <c r="E283" t="s">
        <v>1982</v>
      </c>
      <c r="F283" s="1" t="s">
        <v>41</v>
      </c>
      <c r="G283" t="s">
        <v>42</v>
      </c>
      <c r="H283" t="s">
        <v>43</v>
      </c>
      <c r="I283" s="1" t="s">
        <v>1983</v>
      </c>
      <c r="J283" s="1" t="s">
        <v>1984</v>
      </c>
      <c r="K283" t="s">
        <v>1985</v>
      </c>
      <c r="L283" t="s">
        <v>1986</v>
      </c>
      <c r="M283" t="s">
        <v>27</v>
      </c>
      <c r="N283" t="s">
        <v>114</v>
      </c>
      <c r="O283" t="s">
        <v>22</v>
      </c>
      <c r="P283" t="s">
        <v>29</v>
      </c>
      <c r="Q283">
        <v>0</v>
      </c>
    </row>
    <row r="284" spans="1:17" x14ac:dyDescent="0.25">
      <c r="A284">
        <v>283</v>
      </c>
      <c r="B284" t="s">
        <v>1987</v>
      </c>
      <c r="C284" s="2">
        <v>27550</v>
      </c>
      <c r="D284">
        <v>51</v>
      </c>
      <c r="E284" t="s">
        <v>1988</v>
      </c>
      <c r="F284" s="1" t="s">
        <v>243</v>
      </c>
      <c r="G284" t="s">
        <v>244</v>
      </c>
      <c r="H284" t="s">
        <v>135</v>
      </c>
      <c r="I284" s="1" t="s">
        <v>1989</v>
      </c>
      <c r="J284" s="1" t="s">
        <v>1990</v>
      </c>
      <c r="K284" t="s">
        <v>1991</v>
      </c>
      <c r="L284" t="s">
        <v>1992</v>
      </c>
      <c r="M284" t="s">
        <v>48</v>
      </c>
      <c r="N284" t="s">
        <v>21</v>
      </c>
      <c r="O284" t="s">
        <v>50</v>
      </c>
      <c r="P284" t="s">
        <v>29</v>
      </c>
      <c r="Q284">
        <v>0</v>
      </c>
    </row>
    <row r="285" spans="1:17" x14ac:dyDescent="0.25">
      <c r="A285">
        <v>284</v>
      </c>
      <c r="B285" t="s">
        <v>1993</v>
      </c>
      <c r="C285" s="2">
        <v>39631</v>
      </c>
      <c r="D285">
        <v>18</v>
      </c>
      <c r="E285" t="s">
        <v>1994</v>
      </c>
      <c r="F285" s="1" t="s">
        <v>124</v>
      </c>
      <c r="G285" t="s">
        <v>125</v>
      </c>
      <c r="H285" t="s">
        <v>126</v>
      </c>
      <c r="I285" s="1" t="s">
        <v>1995</v>
      </c>
      <c r="J285" s="1" t="s">
        <v>1996</v>
      </c>
      <c r="K285" t="s">
        <v>1997</v>
      </c>
      <c r="L285" t="s">
        <v>1998</v>
      </c>
      <c r="M285" t="s">
        <v>48</v>
      </c>
      <c r="N285" t="s">
        <v>67</v>
      </c>
      <c r="O285" t="s">
        <v>35</v>
      </c>
      <c r="P285" t="s">
        <v>29</v>
      </c>
      <c r="Q285">
        <v>0</v>
      </c>
    </row>
    <row r="286" spans="1:17" x14ac:dyDescent="0.25">
      <c r="A286">
        <v>285</v>
      </c>
      <c r="B286" t="s">
        <v>1999</v>
      </c>
      <c r="C286" s="2">
        <v>26727</v>
      </c>
      <c r="D286">
        <v>53</v>
      </c>
      <c r="E286" t="s">
        <v>2000</v>
      </c>
      <c r="F286" s="1" t="s">
        <v>282</v>
      </c>
      <c r="G286" t="s">
        <v>283</v>
      </c>
      <c r="H286" t="s">
        <v>53</v>
      </c>
      <c r="I286" s="1" t="s">
        <v>2001</v>
      </c>
      <c r="J286" s="1" t="s">
        <v>2002</v>
      </c>
      <c r="K286" t="s">
        <v>2003</v>
      </c>
      <c r="L286" t="s">
        <v>2004</v>
      </c>
      <c r="M286" t="s">
        <v>48</v>
      </c>
      <c r="N286" t="s">
        <v>67</v>
      </c>
      <c r="O286" t="s">
        <v>40</v>
      </c>
      <c r="P286" t="s">
        <v>29</v>
      </c>
      <c r="Q286">
        <v>0</v>
      </c>
    </row>
    <row r="287" spans="1:17" x14ac:dyDescent="0.25">
      <c r="A287">
        <v>286</v>
      </c>
      <c r="B287" t="s">
        <v>2005</v>
      </c>
      <c r="C287" s="2">
        <v>29232</v>
      </c>
      <c r="D287">
        <v>46</v>
      </c>
      <c r="E287" t="s">
        <v>2006</v>
      </c>
      <c r="F287" s="1" t="s">
        <v>217</v>
      </c>
      <c r="G287" t="s">
        <v>218</v>
      </c>
      <c r="H287" t="s">
        <v>53</v>
      </c>
      <c r="I287" s="1" t="s">
        <v>2007</v>
      </c>
      <c r="J287" s="1" t="s">
        <v>2008</v>
      </c>
      <c r="K287" t="s">
        <v>2009</v>
      </c>
      <c r="L287" t="s">
        <v>2010</v>
      </c>
      <c r="M287" t="s">
        <v>48</v>
      </c>
      <c r="N287" t="s">
        <v>212</v>
      </c>
      <c r="O287" t="s">
        <v>35</v>
      </c>
      <c r="P287" t="s">
        <v>23</v>
      </c>
      <c r="Q287">
        <v>3</v>
      </c>
    </row>
    <row r="288" spans="1:17" x14ac:dyDescent="0.25">
      <c r="A288">
        <v>287</v>
      </c>
      <c r="B288" t="s">
        <v>2011</v>
      </c>
      <c r="C288" s="2">
        <v>30907</v>
      </c>
      <c r="D288">
        <v>42</v>
      </c>
      <c r="E288" t="s">
        <v>2012</v>
      </c>
      <c r="F288" s="1" t="s">
        <v>108</v>
      </c>
      <c r="G288" t="s">
        <v>109</v>
      </c>
      <c r="H288" t="s">
        <v>110</v>
      </c>
      <c r="I288" s="1" t="s">
        <v>2013</v>
      </c>
      <c r="J288" s="1" t="s">
        <v>2014</v>
      </c>
      <c r="K288" t="s">
        <v>2015</v>
      </c>
      <c r="L288" t="s">
        <v>2016</v>
      </c>
      <c r="M288" t="s">
        <v>33</v>
      </c>
      <c r="N288" t="s">
        <v>150</v>
      </c>
      <c r="O288" t="s">
        <v>50</v>
      </c>
      <c r="P288" t="s">
        <v>23</v>
      </c>
      <c r="Q288">
        <v>1</v>
      </c>
    </row>
    <row r="289" spans="1:17" x14ac:dyDescent="0.25">
      <c r="A289">
        <v>288</v>
      </c>
      <c r="B289" t="s">
        <v>2017</v>
      </c>
      <c r="C289" s="2">
        <v>35425</v>
      </c>
      <c r="D289">
        <v>30</v>
      </c>
      <c r="E289" t="s">
        <v>2018</v>
      </c>
      <c r="F289" s="1" t="s">
        <v>208</v>
      </c>
      <c r="G289" t="s">
        <v>209</v>
      </c>
      <c r="H289" t="s">
        <v>62</v>
      </c>
      <c r="I289" s="1" t="s">
        <v>2019</v>
      </c>
      <c r="J289" s="1" t="s">
        <v>2020</v>
      </c>
      <c r="K289" t="s">
        <v>2021</v>
      </c>
      <c r="L289" t="s">
        <v>2022</v>
      </c>
      <c r="M289" t="s">
        <v>33</v>
      </c>
      <c r="N289" t="s">
        <v>58</v>
      </c>
      <c r="O289" t="s">
        <v>50</v>
      </c>
      <c r="P289" t="s">
        <v>23</v>
      </c>
      <c r="Q289">
        <v>1</v>
      </c>
    </row>
    <row r="290" spans="1:17" x14ac:dyDescent="0.25">
      <c r="A290">
        <v>289</v>
      </c>
      <c r="B290" t="s">
        <v>2023</v>
      </c>
      <c r="C290" s="2">
        <v>26423</v>
      </c>
      <c r="D290">
        <v>54</v>
      </c>
      <c r="E290" t="s">
        <v>2024</v>
      </c>
      <c r="F290" s="1" t="s">
        <v>292</v>
      </c>
      <c r="G290" t="s">
        <v>293</v>
      </c>
      <c r="H290" t="s">
        <v>26</v>
      </c>
      <c r="I290" s="1" t="s">
        <v>2025</v>
      </c>
      <c r="J290" s="1" t="s">
        <v>2026</v>
      </c>
      <c r="K290" t="s">
        <v>2027</v>
      </c>
      <c r="L290" t="s">
        <v>2028</v>
      </c>
      <c r="M290" t="s">
        <v>27</v>
      </c>
      <c r="N290" t="s">
        <v>28</v>
      </c>
      <c r="O290" t="s">
        <v>50</v>
      </c>
      <c r="P290" t="s">
        <v>29</v>
      </c>
      <c r="Q290">
        <v>0</v>
      </c>
    </row>
    <row r="291" spans="1:17" x14ac:dyDescent="0.25">
      <c r="A291">
        <v>290</v>
      </c>
      <c r="B291" t="s">
        <v>2029</v>
      </c>
      <c r="C291" s="2">
        <v>23723</v>
      </c>
      <c r="D291">
        <v>62</v>
      </c>
      <c r="E291" t="s">
        <v>2030</v>
      </c>
      <c r="F291" s="1" t="s">
        <v>226</v>
      </c>
      <c r="G291" t="s">
        <v>227</v>
      </c>
      <c r="H291" t="s">
        <v>113</v>
      </c>
      <c r="I291" s="1" t="s">
        <v>2031</v>
      </c>
      <c r="J291" s="1" t="s">
        <v>2032</v>
      </c>
      <c r="K291" t="s">
        <v>2033</v>
      </c>
      <c r="L291" t="s">
        <v>2034</v>
      </c>
      <c r="M291" t="s">
        <v>48</v>
      </c>
      <c r="N291" t="s">
        <v>72</v>
      </c>
      <c r="O291" t="s">
        <v>22</v>
      </c>
      <c r="P291" t="s">
        <v>23</v>
      </c>
      <c r="Q291">
        <v>3</v>
      </c>
    </row>
    <row r="292" spans="1:17" x14ac:dyDescent="0.25">
      <c r="A292">
        <v>291</v>
      </c>
      <c r="B292" t="s">
        <v>2035</v>
      </c>
      <c r="C292" s="2">
        <v>31612</v>
      </c>
      <c r="D292">
        <v>40</v>
      </c>
      <c r="E292" t="s">
        <v>2036</v>
      </c>
      <c r="F292" s="1" t="s">
        <v>176</v>
      </c>
      <c r="G292" t="s">
        <v>177</v>
      </c>
      <c r="H292" t="s">
        <v>43</v>
      </c>
      <c r="I292" s="1" t="s">
        <v>2037</v>
      </c>
      <c r="J292" s="1" t="s">
        <v>2038</v>
      </c>
      <c r="K292" t="s">
        <v>2039</v>
      </c>
      <c r="L292" t="s">
        <v>2040</v>
      </c>
      <c r="M292" t="s">
        <v>48</v>
      </c>
      <c r="N292" t="s">
        <v>28</v>
      </c>
      <c r="O292" t="s">
        <v>50</v>
      </c>
      <c r="P292" t="s">
        <v>23</v>
      </c>
      <c r="Q292">
        <v>1</v>
      </c>
    </row>
    <row r="293" spans="1:17" x14ac:dyDescent="0.25">
      <c r="A293">
        <v>292</v>
      </c>
      <c r="B293" t="s">
        <v>2041</v>
      </c>
      <c r="C293" s="2">
        <v>22519</v>
      </c>
      <c r="D293">
        <v>65</v>
      </c>
      <c r="E293" t="s">
        <v>2042</v>
      </c>
      <c r="F293" s="1" t="s">
        <v>102</v>
      </c>
      <c r="G293" t="s">
        <v>103</v>
      </c>
      <c r="H293" t="s">
        <v>104</v>
      </c>
      <c r="I293" s="1" t="s">
        <v>2043</v>
      </c>
      <c r="J293" s="1" t="s">
        <v>2044</v>
      </c>
      <c r="K293" t="s">
        <v>2045</v>
      </c>
      <c r="L293" t="s">
        <v>2046</v>
      </c>
      <c r="M293" t="s">
        <v>48</v>
      </c>
      <c r="N293" t="s">
        <v>39</v>
      </c>
      <c r="O293" t="s">
        <v>22</v>
      </c>
      <c r="P293" t="s">
        <v>23</v>
      </c>
      <c r="Q293">
        <v>1</v>
      </c>
    </row>
    <row r="294" spans="1:17" x14ac:dyDescent="0.25">
      <c r="A294">
        <v>293</v>
      </c>
      <c r="B294" t="s">
        <v>2047</v>
      </c>
      <c r="C294" s="2">
        <v>22627</v>
      </c>
      <c r="D294">
        <v>65</v>
      </c>
      <c r="E294" t="s">
        <v>2048</v>
      </c>
      <c r="F294" s="1" t="s">
        <v>226</v>
      </c>
      <c r="G294" t="s">
        <v>227</v>
      </c>
      <c r="H294" t="s">
        <v>113</v>
      </c>
      <c r="I294" s="1" t="s">
        <v>2049</v>
      </c>
      <c r="J294" s="1" t="s">
        <v>2050</v>
      </c>
      <c r="K294" t="s">
        <v>2051</v>
      </c>
      <c r="L294" t="s">
        <v>2052</v>
      </c>
      <c r="M294" t="s">
        <v>33</v>
      </c>
      <c r="N294" t="s">
        <v>78</v>
      </c>
      <c r="O294" t="s">
        <v>40</v>
      </c>
      <c r="P294" t="s">
        <v>29</v>
      </c>
      <c r="Q294">
        <v>0</v>
      </c>
    </row>
    <row r="295" spans="1:17" x14ac:dyDescent="0.25">
      <c r="A295">
        <v>294</v>
      </c>
      <c r="B295" t="s">
        <v>2053</v>
      </c>
      <c r="C295" s="2">
        <v>31327</v>
      </c>
      <c r="D295">
        <v>41</v>
      </c>
      <c r="E295" t="s">
        <v>2054</v>
      </c>
      <c r="F295" s="1" t="s">
        <v>170</v>
      </c>
      <c r="G295" t="s">
        <v>171</v>
      </c>
      <c r="H295" t="s">
        <v>57</v>
      </c>
      <c r="I295" s="1" t="s">
        <v>2055</v>
      </c>
      <c r="J295" s="1" t="s">
        <v>2056</v>
      </c>
      <c r="K295" t="s">
        <v>2057</v>
      </c>
      <c r="L295" t="s">
        <v>2058</v>
      </c>
      <c r="M295" t="s">
        <v>27</v>
      </c>
      <c r="N295" t="s">
        <v>78</v>
      </c>
      <c r="O295" t="s">
        <v>35</v>
      </c>
      <c r="P295" t="s">
        <v>29</v>
      </c>
      <c r="Q295">
        <v>0</v>
      </c>
    </row>
    <row r="296" spans="1:17" x14ac:dyDescent="0.25">
      <c r="A296">
        <v>295</v>
      </c>
      <c r="B296" t="s">
        <v>2059</v>
      </c>
      <c r="C296" s="2">
        <v>32156</v>
      </c>
      <c r="D296">
        <v>38</v>
      </c>
      <c r="E296" t="s">
        <v>2060</v>
      </c>
      <c r="F296" s="1" t="s">
        <v>117</v>
      </c>
      <c r="G296" t="s">
        <v>118</v>
      </c>
      <c r="H296" t="s">
        <v>119</v>
      </c>
      <c r="I296" s="1" t="s">
        <v>2061</v>
      </c>
      <c r="J296" s="1" t="s">
        <v>2062</v>
      </c>
      <c r="K296" t="s">
        <v>2063</v>
      </c>
      <c r="L296" t="s">
        <v>2064</v>
      </c>
      <c r="M296" t="s">
        <v>48</v>
      </c>
      <c r="N296" t="s">
        <v>150</v>
      </c>
      <c r="O296" t="s">
        <v>35</v>
      </c>
      <c r="P296" t="s">
        <v>23</v>
      </c>
      <c r="Q296">
        <v>1</v>
      </c>
    </row>
    <row r="297" spans="1:17" x14ac:dyDescent="0.25">
      <c r="A297">
        <v>296</v>
      </c>
      <c r="B297" t="s">
        <v>2065</v>
      </c>
      <c r="C297" s="2">
        <v>27615</v>
      </c>
      <c r="D297">
        <v>51</v>
      </c>
      <c r="E297" t="s">
        <v>2066</v>
      </c>
      <c r="F297" s="1" t="s">
        <v>217</v>
      </c>
      <c r="G297" t="s">
        <v>218</v>
      </c>
      <c r="H297" t="s">
        <v>53</v>
      </c>
      <c r="I297" s="1" t="s">
        <v>2067</v>
      </c>
      <c r="J297" s="1" t="s">
        <v>2068</v>
      </c>
      <c r="K297" t="s">
        <v>2069</v>
      </c>
      <c r="L297" t="s">
        <v>2070</v>
      </c>
      <c r="M297" t="s">
        <v>27</v>
      </c>
      <c r="N297" t="s">
        <v>150</v>
      </c>
      <c r="O297" t="s">
        <v>40</v>
      </c>
      <c r="P297" t="s">
        <v>29</v>
      </c>
      <c r="Q297">
        <v>0</v>
      </c>
    </row>
    <row r="298" spans="1:17" x14ac:dyDescent="0.25">
      <c r="A298">
        <v>297</v>
      </c>
      <c r="B298" t="s">
        <v>2071</v>
      </c>
      <c r="C298" s="2">
        <v>29396</v>
      </c>
      <c r="D298">
        <v>46</v>
      </c>
      <c r="E298" t="s">
        <v>2072</v>
      </c>
      <c r="F298" s="1" t="s">
        <v>89</v>
      </c>
      <c r="G298" t="s">
        <v>90</v>
      </c>
      <c r="H298" t="s">
        <v>91</v>
      </c>
      <c r="I298" s="1" t="s">
        <v>2073</v>
      </c>
      <c r="J298" s="1" t="s">
        <v>2074</v>
      </c>
      <c r="K298" t="s">
        <v>2075</v>
      </c>
      <c r="L298" t="s">
        <v>2076</v>
      </c>
      <c r="M298" t="s">
        <v>27</v>
      </c>
      <c r="N298" t="s">
        <v>54</v>
      </c>
      <c r="O298" t="s">
        <v>50</v>
      </c>
      <c r="P298" t="s">
        <v>23</v>
      </c>
      <c r="Q298">
        <v>1</v>
      </c>
    </row>
    <row r="299" spans="1:17" x14ac:dyDescent="0.25">
      <c r="A299">
        <v>298</v>
      </c>
      <c r="B299" t="s">
        <v>2077</v>
      </c>
      <c r="C299" s="2">
        <v>36262</v>
      </c>
      <c r="D299">
        <v>27</v>
      </c>
      <c r="E299" t="s">
        <v>2078</v>
      </c>
      <c r="F299" s="1" t="s">
        <v>262</v>
      </c>
      <c r="G299" t="s">
        <v>263</v>
      </c>
      <c r="H299" t="s">
        <v>19</v>
      </c>
      <c r="I299" s="1" t="s">
        <v>2079</v>
      </c>
      <c r="J299" s="1" t="s">
        <v>2080</v>
      </c>
      <c r="K299" t="s">
        <v>2081</v>
      </c>
      <c r="L299" t="s">
        <v>2082</v>
      </c>
      <c r="M299" t="s">
        <v>33</v>
      </c>
      <c r="N299" t="s">
        <v>99</v>
      </c>
      <c r="O299" t="s">
        <v>22</v>
      </c>
      <c r="P299" t="s">
        <v>29</v>
      </c>
      <c r="Q299">
        <v>0</v>
      </c>
    </row>
    <row r="300" spans="1:17" x14ac:dyDescent="0.25">
      <c r="A300">
        <v>299</v>
      </c>
      <c r="B300" t="s">
        <v>2083</v>
      </c>
      <c r="C300" s="2">
        <v>35478</v>
      </c>
      <c r="D300">
        <v>29</v>
      </c>
      <c r="E300" t="s">
        <v>2084</v>
      </c>
      <c r="F300" s="1" t="s">
        <v>17</v>
      </c>
      <c r="G300" t="s">
        <v>18</v>
      </c>
      <c r="H300" t="s">
        <v>19</v>
      </c>
      <c r="I300" s="1" t="s">
        <v>2085</v>
      </c>
      <c r="J300" s="1" t="s">
        <v>2086</v>
      </c>
      <c r="K300" t="s">
        <v>2087</v>
      </c>
      <c r="L300" t="s">
        <v>2088</v>
      </c>
      <c r="M300" t="s">
        <v>27</v>
      </c>
      <c r="N300" t="s">
        <v>54</v>
      </c>
      <c r="O300" t="s">
        <v>59</v>
      </c>
      <c r="P300" t="s">
        <v>29</v>
      </c>
      <c r="Q300">
        <v>0</v>
      </c>
    </row>
    <row r="301" spans="1:17" x14ac:dyDescent="0.25">
      <c r="A301">
        <v>300</v>
      </c>
      <c r="B301" t="s">
        <v>2089</v>
      </c>
      <c r="C301" s="2">
        <v>28470</v>
      </c>
      <c r="D301">
        <v>49</v>
      </c>
      <c r="E301" t="s">
        <v>2090</v>
      </c>
      <c r="F301" s="1" t="s">
        <v>161</v>
      </c>
      <c r="G301" t="s">
        <v>162</v>
      </c>
      <c r="H301" t="s">
        <v>53</v>
      </c>
      <c r="I301" s="1" t="s">
        <v>2091</v>
      </c>
      <c r="J301" s="1" t="s">
        <v>2092</v>
      </c>
      <c r="K301" t="s">
        <v>2093</v>
      </c>
      <c r="L301" t="s">
        <v>2094</v>
      </c>
      <c r="M301" t="s">
        <v>48</v>
      </c>
      <c r="N301" t="s">
        <v>44</v>
      </c>
      <c r="O301" t="s">
        <v>59</v>
      </c>
      <c r="P301" t="s">
        <v>29</v>
      </c>
      <c r="Q301">
        <v>0</v>
      </c>
    </row>
    <row r="302" spans="1:17" x14ac:dyDescent="0.25">
      <c r="A302">
        <v>301</v>
      </c>
      <c r="B302" t="s">
        <v>2095</v>
      </c>
      <c r="C302" s="2">
        <v>39573</v>
      </c>
      <c r="D302">
        <v>18</v>
      </c>
      <c r="E302" t="s">
        <v>2096</v>
      </c>
      <c r="F302" s="1" t="s">
        <v>206</v>
      </c>
      <c r="G302" t="s">
        <v>207</v>
      </c>
      <c r="H302" t="s">
        <v>53</v>
      </c>
      <c r="I302" s="1" t="s">
        <v>2097</v>
      </c>
      <c r="J302" s="1" t="s">
        <v>2098</v>
      </c>
      <c r="K302" t="s">
        <v>2099</v>
      </c>
      <c r="L302" t="s">
        <v>2100</v>
      </c>
      <c r="M302" t="s">
        <v>48</v>
      </c>
      <c r="N302" t="s">
        <v>106</v>
      </c>
      <c r="O302" t="s">
        <v>22</v>
      </c>
      <c r="P302" t="s">
        <v>23</v>
      </c>
      <c r="Q302">
        <v>6</v>
      </c>
    </row>
    <row r="303" spans="1:17" x14ac:dyDescent="0.25">
      <c r="A303">
        <v>302</v>
      </c>
      <c r="B303" t="s">
        <v>2101</v>
      </c>
      <c r="C303" s="2">
        <v>39093</v>
      </c>
      <c r="D303">
        <v>19</v>
      </c>
      <c r="E303" t="s">
        <v>2102</v>
      </c>
      <c r="F303" s="1" t="s">
        <v>63</v>
      </c>
      <c r="G303" t="s">
        <v>64</v>
      </c>
      <c r="H303" t="s">
        <v>65</v>
      </c>
      <c r="I303" s="1" t="s">
        <v>2103</v>
      </c>
      <c r="J303" s="1" t="s">
        <v>2104</v>
      </c>
      <c r="K303" t="s">
        <v>2105</v>
      </c>
      <c r="L303" t="s">
        <v>2106</v>
      </c>
      <c r="M303" t="s">
        <v>27</v>
      </c>
      <c r="N303" t="s">
        <v>212</v>
      </c>
      <c r="O303" t="s">
        <v>59</v>
      </c>
      <c r="P303" t="s">
        <v>23</v>
      </c>
      <c r="Q303">
        <v>1</v>
      </c>
    </row>
    <row r="304" spans="1:17" x14ac:dyDescent="0.25">
      <c r="A304">
        <v>303</v>
      </c>
      <c r="B304" t="s">
        <v>2107</v>
      </c>
      <c r="C304" s="2">
        <v>28528</v>
      </c>
      <c r="D304">
        <v>48</v>
      </c>
      <c r="E304" t="s">
        <v>2108</v>
      </c>
      <c r="F304" s="1" t="s">
        <v>210</v>
      </c>
      <c r="G304" t="s">
        <v>211</v>
      </c>
      <c r="H304" t="s">
        <v>57</v>
      </c>
      <c r="I304" s="1" t="s">
        <v>2109</v>
      </c>
      <c r="J304" s="1" t="s">
        <v>2110</v>
      </c>
      <c r="K304" t="s">
        <v>2111</v>
      </c>
      <c r="L304" t="s">
        <v>2112</v>
      </c>
      <c r="M304" t="s">
        <v>48</v>
      </c>
      <c r="N304" t="s">
        <v>34</v>
      </c>
      <c r="O304" t="s">
        <v>50</v>
      </c>
      <c r="P304" t="s">
        <v>29</v>
      </c>
      <c r="Q304">
        <v>0</v>
      </c>
    </row>
    <row r="305" spans="1:17" x14ac:dyDescent="0.25">
      <c r="A305">
        <v>304</v>
      </c>
      <c r="B305" t="s">
        <v>2113</v>
      </c>
      <c r="C305" s="2">
        <v>33553</v>
      </c>
      <c r="D305">
        <v>35</v>
      </c>
      <c r="E305" t="s">
        <v>2114</v>
      </c>
      <c r="F305" s="1" t="s">
        <v>153</v>
      </c>
      <c r="G305" t="s">
        <v>154</v>
      </c>
      <c r="H305" t="s">
        <v>104</v>
      </c>
      <c r="I305" s="1" t="s">
        <v>2115</v>
      </c>
      <c r="J305" s="1" t="s">
        <v>2116</v>
      </c>
      <c r="K305" t="s">
        <v>2117</v>
      </c>
      <c r="L305" t="s">
        <v>2118</v>
      </c>
      <c r="M305" t="s">
        <v>33</v>
      </c>
      <c r="N305" t="s">
        <v>67</v>
      </c>
      <c r="O305" t="s">
        <v>50</v>
      </c>
      <c r="P305" t="s">
        <v>29</v>
      </c>
      <c r="Q305">
        <v>0</v>
      </c>
    </row>
    <row r="306" spans="1:17" x14ac:dyDescent="0.25">
      <c r="A306">
        <v>305</v>
      </c>
      <c r="B306" t="s">
        <v>2119</v>
      </c>
      <c r="C306" s="2">
        <v>24217</v>
      </c>
      <c r="D306">
        <v>60</v>
      </c>
      <c r="E306" t="s">
        <v>2120</v>
      </c>
      <c r="F306" s="1" t="s">
        <v>200</v>
      </c>
      <c r="G306" t="s">
        <v>201</v>
      </c>
      <c r="H306" t="s">
        <v>169</v>
      </c>
      <c r="I306" s="1" t="s">
        <v>2121</v>
      </c>
      <c r="J306" s="1" t="s">
        <v>2122</v>
      </c>
      <c r="K306" t="s">
        <v>2123</v>
      </c>
      <c r="L306" t="s">
        <v>2124</v>
      </c>
      <c r="M306" t="s">
        <v>27</v>
      </c>
      <c r="N306" t="s">
        <v>49</v>
      </c>
      <c r="O306" t="s">
        <v>35</v>
      </c>
      <c r="P306" t="s">
        <v>29</v>
      </c>
      <c r="Q306">
        <v>0</v>
      </c>
    </row>
    <row r="307" spans="1:17" x14ac:dyDescent="0.25">
      <c r="A307">
        <v>306</v>
      </c>
      <c r="B307" t="s">
        <v>2125</v>
      </c>
      <c r="C307" s="2">
        <v>37054</v>
      </c>
      <c r="D307">
        <v>25</v>
      </c>
      <c r="E307" t="s">
        <v>2126</v>
      </c>
      <c r="F307" s="1" t="s">
        <v>187</v>
      </c>
      <c r="G307" t="s">
        <v>188</v>
      </c>
      <c r="H307" t="s">
        <v>110</v>
      </c>
      <c r="I307" s="1" t="s">
        <v>2127</v>
      </c>
      <c r="J307" s="1" t="s">
        <v>2128</v>
      </c>
      <c r="K307" t="s">
        <v>2129</v>
      </c>
      <c r="L307" t="s">
        <v>2130</v>
      </c>
      <c r="M307" t="s">
        <v>27</v>
      </c>
      <c r="N307" t="s">
        <v>150</v>
      </c>
      <c r="O307" t="s">
        <v>50</v>
      </c>
      <c r="P307" t="s">
        <v>23</v>
      </c>
      <c r="Q307">
        <v>3</v>
      </c>
    </row>
    <row r="308" spans="1:17" x14ac:dyDescent="0.25">
      <c r="A308">
        <v>307</v>
      </c>
      <c r="B308" t="s">
        <v>2131</v>
      </c>
      <c r="C308" s="2">
        <v>34752</v>
      </c>
      <c r="D308">
        <v>31</v>
      </c>
      <c r="E308" t="s">
        <v>2132</v>
      </c>
      <c r="F308" s="1" t="s">
        <v>278</v>
      </c>
      <c r="G308" t="s">
        <v>279</v>
      </c>
      <c r="H308" t="s">
        <v>26</v>
      </c>
      <c r="I308" s="1" t="s">
        <v>2133</v>
      </c>
      <c r="J308" s="1" t="s">
        <v>2134</v>
      </c>
      <c r="K308" t="s">
        <v>2135</v>
      </c>
      <c r="L308" t="s">
        <v>2136</v>
      </c>
      <c r="M308" t="s">
        <v>48</v>
      </c>
      <c r="N308" t="s">
        <v>150</v>
      </c>
      <c r="O308" t="s">
        <v>50</v>
      </c>
      <c r="P308" t="s">
        <v>29</v>
      </c>
      <c r="Q308">
        <v>0</v>
      </c>
    </row>
    <row r="309" spans="1:17" x14ac:dyDescent="0.25">
      <c r="A309">
        <v>308</v>
      </c>
      <c r="B309" t="s">
        <v>2137</v>
      </c>
      <c r="C309" s="2">
        <v>26565</v>
      </c>
      <c r="D309">
        <v>54</v>
      </c>
      <c r="E309" t="s">
        <v>2138</v>
      </c>
      <c r="F309" s="1" t="s">
        <v>161</v>
      </c>
      <c r="G309" t="s">
        <v>162</v>
      </c>
      <c r="H309" t="s">
        <v>53</v>
      </c>
      <c r="I309" s="1" t="s">
        <v>2139</v>
      </c>
      <c r="J309" s="1" t="s">
        <v>2140</v>
      </c>
      <c r="K309" t="s">
        <v>2141</v>
      </c>
      <c r="L309" t="s">
        <v>2142</v>
      </c>
      <c r="M309" t="s">
        <v>33</v>
      </c>
      <c r="N309" t="s">
        <v>49</v>
      </c>
      <c r="O309" t="s">
        <v>22</v>
      </c>
      <c r="P309" t="s">
        <v>29</v>
      </c>
      <c r="Q309">
        <v>0</v>
      </c>
    </row>
    <row r="310" spans="1:17" x14ac:dyDescent="0.25">
      <c r="A310">
        <v>309</v>
      </c>
      <c r="B310" t="s">
        <v>2143</v>
      </c>
      <c r="C310" s="2">
        <v>35014</v>
      </c>
      <c r="D310">
        <v>31</v>
      </c>
      <c r="E310" t="s">
        <v>2144</v>
      </c>
      <c r="F310" s="1" t="s">
        <v>286</v>
      </c>
      <c r="G310" t="s">
        <v>287</v>
      </c>
      <c r="H310" t="s">
        <v>32</v>
      </c>
      <c r="I310" s="1" t="s">
        <v>2145</v>
      </c>
      <c r="J310" s="1" t="s">
        <v>2146</v>
      </c>
      <c r="K310" t="s">
        <v>2147</v>
      </c>
      <c r="L310" t="s">
        <v>2148</v>
      </c>
      <c r="M310" t="s">
        <v>27</v>
      </c>
      <c r="N310" t="s">
        <v>99</v>
      </c>
      <c r="O310" t="s">
        <v>35</v>
      </c>
      <c r="P310" t="s">
        <v>23</v>
      </c>
      <c r="Q310">
        <v>1</v>
      </c>
    </row>
    <row r="311" spans="1:17" x14ac:dyDescent="0.25">
      <c r="A311">
        <v>310</v>
      </c>
      <c r="B311" t="s">
        <v>2149</v>
      </c>
      <c r="C311" s="2">
        <v>35535</v>
      </c>
      <c r="D311">
        <v>29</v>
      </c>
      <c r="E311" t="s">
        <v>2150</v>
      </c>
      <c r="F311" s="1" t="s">
        <v>165</v>
      </c>
      <c r="G311" t="s">
        <v>166</v>
      </c>
      <c r="H311" t="s">
        <v>65</v>
      </c>
      <c r="I311" s="1" t="s">
        <v>2151</v>
      </c>
      <c r="J311" s="1" t="s">
        <v>2152</v>
      </c>
      <c r="K311" t="s">
        <v>2153</v>
      </c>
      <c r="L311" t="s">
        <v>2154</v>
      </c>
      <c r="M311" t="s">
        <v>33</v>
      </c>
      <c r="N311" t="s">
        <v>58</v>
      </c>
      <c r="O311" t="s">
        <v>50</v>
      </c>
      <c r="P311" t="s">
        <v>29</v>
      </c>
      <c r="Q311">
        <v>0</v>
      </c>
    </row>
    <row r="312" spans="1:17" x14ac:dyDescent="0.25">
      <c r="A312">
        <v>311</v>
      </c>
      <c r="B312" t="s">
        <v>2155</v>
      </c>
      <c r="C312" s="2">
        <v>32858</v>
      </c>
      <c r="D312">
        <v>37</v>
      </c>
      <c r="E312" t="s">
        <v>2156</v>
      </c>
      <c r="F312" s="1" t="s">
        <v>270</v>
      </c>
      <c r="G312" t="s">
        <v>271</v>
      </c>
      <c r="H312" t="s">
        <v>81</v>
      </c>
      <c r="I312" s="1" t="s">
        <v>2157</v>
      </c>
      <c r="J312" s="1" t="s">
        <v>2158</v>
      </c>
      <c r="K312" t="s">
        <v>2159</v>
      </c>
      <c r="L312" t="s">
        <v>2160</v>
      </c>
      <c r="M312" t="s">
        <v>27</v>
      </c>
      <c r="N312" t="s">
        <v>82</v>
      </c>
      <c r="O312" t="s">
        <v>59</v>
      </c>
      <c r="P312" t="s">
        <v>23</v>
      </c>
      <c r="Q312">
        <v>3</v>
      </c>
    </row>
    <row r="313" spans="1:17" x14ac:dyDescent="0.25">
      <c r="A313">
        <v>312</v>
      </c>
      <c r="B313" t="s">
        <v>2161</v>
      </c>
      <c r="C313" s="2">
        <v>33421</v>
      </c>
      <c r="D313">
        <v>35</v>
      </c>
      <c r="E313" t="s">
        <v>2162</v>
      </c>
      <c r="F313" s="1" t="s">
        <v>234</v>
      </c>
      <c r="G313" t="s">
        <v>235</v>
      </c>
      <c r="H313" t="s">
        <v>236</v>
      </c>
      <c r="I313" s="1" t="s">
        <v>2163</v>
      </c>
      <c r="J313" s="1" t="s">
        <v>2164</v>
      </c>
      <c r="K313" t="s">
        <v>2165</v>
      </c>
      <c r="L313" t="s">
        <v>2166</v>
      </c>
      <c r="M313" t="s">
        <v>48</v>
      </c>
      <c r="N313" t="s">
        <v>212</v>
      </c>
      <c r="O313" t="s">
        <v>59</v>
      </c>
      <c r="P313" t="s">
        <v>23</v>
      </c>
      <c r="Q313">
        <v>2</v>
      </c>
    </row>
    <row r="314" spans="1:17" x14ac:dyDescent="0.25">
      <c r="A314">
        <v>313</v>
      </c>
      <c r="B314" t="s">
        <v>2167</v>
      </c>
      <c r="C314" s="2">
        <v>23956</v>
      </c>
      <c r="D314">
        <v>61</v>
      </c>
      <c r="E314" t="s">
        <v>2168</v>
      </c>
      <c r="F314" s="1" t="s">
        <v>210</v>
      </c>
      <c r="G314" t="s">
        <v>211</v>
      </c>
      <c r="H314" t="s">
        <v>57</v>
      </c>
      <c r="I314" s="1" t="s">
        <v>2169</v>
      </c>
      <c r="J314" s="1" t="s">
        <v>2170</v>
      </c>
      <c r="K314" t="s">
        <v>2171</v>
      </c>
      <c r="L314" t="s">
        <v>2172</v>
      </c>
      <c r="M314" t="s">
        <v>48</v>
      </c>
      <c r="N314" t="s">
        <v>99</v>
      </c>
      <c r="O314" t="s">
        <v>22</v>
      </c>
      <c r="P314" t="s">
        <v>29</v>
      </c>
      <c r="Q314">
        <v>0</v>
      </c>
    </row>
    <row r="315" spans="1:17" x14ac:dyDescent="0.25">
      <c r="A315">
        <v>314</v>
      </c>
      <c r="B315" t="s">
        <v>2173</v>
      </c>
      <c r="C315" s="2">
        <v>34381</v>
      </c>
      <c r="D315">
        <v>32</v>
      </c>
      <c r="E315" t="s">
        <v>2174</v>
      </c>
      <c r="F315" s="1" t="s">
        <v>79</v>
      </c>
      <c r="G315" t="s">
        <v>80</v>
      </c>
      <c r="H315" t="s">
        <v>81</v>
      </c>
      <c r="I315" s="1" t="s">
        <v>2175</v>
      </c>
      <c r="J315" s="1" t="s">
        <v>2176</v>
      </c>
      <c r="K315" t="s">
        <v>2177</v>
      </c>
      <c r="L315" t="s">
        <v>2178</v>
      </c>
      <c r="M315" t="s">
        <v>48</v>
      </c>
      <c r="N315" t="s">
        <v>114</v>
      </c>
      <c r="O315" t="s">
        <v>59</v>
      </c>
      <c r="P315" t="s">
        <v>29</v>
      </c>
      <c r="Q315">
        <v>0</v>
      </c>
    </row>
    <row r="316" spans="1:17" x14ac:dyDescent="0.25">
      <c r="A316">
        <v>315</v>
      </c>
      <c r="B316" t="s">
        <v>2179</v>
      </c>
      <c r="C316" s="2">
        <v>25205</v>
      </c>
      <c r="D316">
        <v>57</v>
      </c>
      <c r="E316" t="s">
        <v>2180</v>
      </c>
      <c r="F316" s="1" t="s">
        <v>213</v>
      </c>
      <c r="G316" t="s">
        <v>214</v>
      </c>
      <c r="H316" t="s">
        <v>119</v>
      </c>
      <c r="I316" s="1" t="s">
        <v>2181</v>
      </c>
      <c r="J316" s="1" t="s">
        <v>2182</v>
      </c>
      <c r="K316" t="s">
        <v>2183</v>
      </c>
      <c r="L316" t="s">
        <v>2184</v>
      </c>
      <c r="M316" t="s">
        <v>48</v>
      </c>
      <c r="N316" t="s">
        <v>58</v>
      </c>
      <c r="O316" t="s">
        <v>50</v>
      </c>
      <c r="P316" t="s">
        <v>29</v>
      </c>
      <c r="Q316">
        <v>0</v>
      </c>
    </row>
    <row r="317" spans="1:17" x14ac:dyDescent="0.25">
      <c r="A317">
        <v>316</v>
      </c>
      <c r="B317" t="s">
        <v>2185</v>
      </c>
      <c r="C317" s="2">
        <v>33828</v>
      </c>
      <c r="D317">
        <v>34</v>
      </c>
      <c r="E317" t="s">
        <v>2186</v>
      </c>
      <c r="F317" s="1" t="s">
        <v>241</v>
      </c>
      <c r="G317" t="s">
        <v>242</v>
      </c>
      <c r="H317" t="s">
        <v>81</v>
      </c>
      <c r="I317" s="1" t="s">
        <v>2187</v>
      </c>
      <c r="J317" s="1" t="s">
        <v>2188</v>
      </c>
      <c r="K317" t="s">
        <v>2189</v>
      </c>
      <c r="L317" t="s">
        <v>2190</v>
      </c>
      <c r="M317" t="s">
        <v>27</v>
      </c>
      <c r="N317" t="s">
        <v>21</v>
      </c>
      <c r="O317" t="s">
        <v>22</v>
      </c>
      <c r="P317" t="s">
        <v>23</v>
      </c>
      <c r="Q317">
        <v>5</v>
      </c>
    </row>
    <row r="318" spans="1:17" x14ac:dyDescent="0.25">
      <c r="A318">
        <v>317</v>
      </c>
      <c r="B318" t="s">
        <v>2191</v>
      </c>
      <c r="C318" s="2">
        <v>27420</v>
      </c>
      <c r="D318">
        <v>51</v>
      </c>
      <c r="E318" t="s">
        <v>2192</v>
      </c>
      <c r="F318" s="1" t="s">
        <v>217</v>
      </c>
      <c r="G318" t="s">
        <v>218</v>
      </c>
      <c r="H318" t="s">
        <v>53</v>
      </c>
      <c r="I318" s="1" t="s">
        <v>2193</v>
      </c>
      <c r="J318" s="1" t="s">
        <v>2194</v>
      </c>
      <c r="K318" t="s">
        <v>2195</v>
      </c>
      <c r="L318" t="s">
        <v>2196</v>
      </c>
      <c r="M318" t="s">
        <v>48</v>
      </c>
      <c r="N318" t="s">
        <v>49</v>
      </c>
      <c r="O318" t="s">
        <v>22</v>
      </c>
      <c r="P318" t="s">
        <v>29</v>
      </c>
      <c r="Q318">
        <v>0</v>
      </c>
    </row>
    <row r="319" spans="1:17" x14ac:dyDescent="0.25">
      <c r="A319">
        <v>318</v>
      </c>
      <c r="B319" t="s">
        <v>2197</v>
      </c>
      <c r="C319" s="2">
        <v>24770</v>
      </c>
      <c r="D319">
        <v>59</v>
      </c>
      <c r="E319" t="s">
        <v>2198</v>
      </c>
      <c r="F319" s="1" t="s">
        <v>24</v>
      </c>
      <c r="G319" t="s">
        <v>25</v>
      </c>
      <c r="H319" t="s">
        <v>26</v>
      </c>
      <c r="I319" s="1" t="s">
        <v>2199</v>
      </c>
      <c r="J319" s="1" t="s">
        <v>2200</v>
      </c>
      <c r="K319" t="s">
        <v>2201</v>
      </c>
      <c r="L319" t="s">
        <v>2202</v>
      </c>
      <c r="M319" t="s">
        <v>48</v>
      </c>
      <c r="N319" t="s">
        <v>78</v>
      </c>
      <c r="O319" t="s">
        <v>35</v>
      </c>
      <c r="P319" t="s">
        <v>23</v>
      </c>
      <c r="Q319">
        <v>1</v>
      </c>
    </row>
    <row r="320" spans="1:17" x14ac:dyDescent="0.25">
      <c r="A320">
        <v>319</v>
      </c>
      <c r="B320" t="s">
        <v>2203</v>
      </c>
      <c r="C320" s="2">
        <v>22327</v>
      </c>
      <c r="D320">
        <v>65</v>
      </c>
      <c r="E320" t="s">
        <v>2204</v>
      </c>
      <c r="F320" s="1" t="s">
        <v>178</v>
      </c>
      <c r="G320" t="s">
        <v>179</v>
      </c>
      <c r="H320" t="s">
        <v>180</v>
      </c>
      <c r="I320" s="1" t="s">
        <v>2205</v>
      </c>
      <c r="J320" s="1" t="s">
        <v>2206</v>
      </c>
      <c r="K320" t="s">
        <v>2207</v>
      </c>
      <c r="L320" t="s">
        <v>2208</v>
      </c>
      <c r="M320" t="s">
        <v>48</v>
      </c>
      <c r="N320" t="s">
        <v>66</v>
      </c>
      <c r="O320" t="s">
        <v>35</v>
      </c>
      <c r="P320" t="s">
        <v>29</v>
      </c>
      <c r="Q320">
        <v>0</v>
      </c>
    </row>
    <row r="321" spans="1:17" x14ac:dyDescent="0.25">
      <c r="A321">
        <v>320</v>
      </c>
      <c r="B321" t="s">
        <v>2209</v>
      </c>
      <c r="C321" s="2">
        <v>24275</v>
      </c>
      <c r="D321">
        <v>60</v>
      </c>
      <c r="E321" t="s">
        <v>2210</v>
      </c>
      <c r="F321" s="1" t="s">
        <v>142</v>
      </c>
      <c r="G321" t="s">
        <v>143</v>
      </c>
      <c r="H321" t="s">
        <v>19</v>
      </c>
      <c r="I321" s="1" t="s">
        <v>2211</v>
      </c>
      <c r="J321" s="1" t="s">
        <v>2212</v>
      </c>
      <c r="K321" t="s">
        <v>2213</v>
      </c>
      <c r="L321" t="s">
        <v>2214</v>
      </c>
      <c r="M321" t="s">
        <v>27</v>
      </c>
      <c r="N321" t="s">
        <v>88</v>
      </c>
      <c r="O321" t="s">
        <v>50</v>
      </c>
      <c r="P321" t="s">
        <v>23</v>
      </c>
      <c r="Q321">
        <v>6</v>
      </c>
    </row>
    <row r="322" spans="1:17" x14ac:dyDescent="0.25">
      <c r="A322">
        <v>321</v>
      </c>
      <c r="B322" t="s">
        <v>2215</v>
      </c>
      <c r="C322" s="2">
        <v>29488</v>
      </c>
      <c r="D322">
        <v>46</v>
      </c>
      <c r="E322" t="s">
        <v>2216</v>
      </c>
      <c r="F322" s="1" t="s">
        <v>60</v>
      </c>
      <c r="G322" t="s">
        <v>61</v>
      </c>
      <c r="H322" t="s">
        <v>62</v>
      </c>
      <c r="I322" s="1" t="s">
        <v>2217</v>
      </c>
      <c r="J322" s="1" t="s">
        <v>2218</v>
      </c>
      <c r="K322" t="s">
        <v>2219</v>
      </c>
      <c r="L322" t="s">
        <v>2220</v>
      </c>
      <c r="M322" t="s">
        <v>33</v>
      </c>
      <c r="N322" t="s">
        <v>49</v>
      </c>
      <c r="O322" t="s">
        <v>40</v>
      </c>
      <c r="P322" t="s">
        <v>23</v>
      </c>
      <c r="Q322">
        <v>1</v>
      </c>
    </row>
    <row r="323" spans="1:17" x14ac:dyDescent="0.25">
      <c r="A323">
        <v>322</v>
      </c>
      <c r="B323" t="s">
        <v>2221</v>
      </c>
      <c r="C323" s="2">
        <v>31030</v>
      </c>
      <c r="D323">
        <v>42</v>
      </c>
      <c r="E323" t="s">
        <v>2222</v>
      </c>
      <c r="F323" s="1" t="s">
        <v>115</v>
      </c>
      <c r="G323" t="s">
        <v>116</v>
      </c>
      <c r="H323" t="s">
        <v>43</v>
      </c>
      <c r="I323" s="1" t="s">
        <v>2223</v>
      </c>
      <c r="J323" s="1" t="s">
        <v>2224</v>
      </c>
      <c r="K323" t="s">
        <v>2225</v>
      </c>
      <c r="L323" t="s">
        <v>2226</v>
      </c>
      <c r="M323" t="s">
        <v>27</v>
      </c>
      <c r="N323" t="s">
        <v>114</v>
      </c>
      <c r="O323" t="s">
        <v>40</v>
      </c>
      <c r="P323" t="s">
        <v>23</v>
      </c>
      <c r="Q323">
        <v>1</v>
      </c>
    </row>
    <row r="324" spans="1:17" x14ac:dyDescent="0.25">
      <c r="A324">
        <v>323</v>
      </c>
      <c r="B324" t="s">
        <v>2227</v>
      </c>
      <c r="C324" s="2">
        <v>33519</v>
      </c>
      <c r="D324">
        <v>35</v>
      </c>
      <c r="E324" t="s">
        <v>2228</v>
      </c>
      <c r="F324" s="1" t="s">
        <v>146</v>
      </c>
      <c r="G324" t="s">
        <v>147</v>
      </c>
      <c r="H324" t="s">
        <v>47</v>
      </c>
      <c r="I324" s="1" t="s">
        <v>2229</v>
      </c>
      <c r="J324" s="1" t="s">
        <v>2230</v>
      </c>
      <c r="K324" t="s">
        <v>2231</v>
      </c>
      <c r="L324" t="s">
        <v>2232</v>
      </c>
      <c r="M324" t="s">
        <v>27</v>
      </c>
      <c r="N324" t="s">
        <v>66</v>
      </c>
      <c r="O324" t="s">
        <v>59</v>
      </c>
      <c r="P324" t="s">
        <v>23</v>
      </c>
      <c r="Q324">
        <v>2</v>
      </c>
    </row>
    <row r="325" spans="1:17" x14ac:dyDescent="0.25">
      <c r="A325">
        <v>324</v>
      </c>
      <c r="B325" t="s">
        <v>2233</v>
      </c>
      <c r="C325" s="2">
        <v>38895</v>
      </c>
      <c r="D325">
        <v>20</v>
      </c>
      <c r="E325" t="s">
        <v>2234</v>
      </c>
      <c r="F325" s="1" t="s">
        <v>108</v>
      </c>
      <c r="G325" t="s">
        <v>109</v>
      </c>
      <c r="H325" t="s">
        <v>110</v>
      </c>
      <c r="I325" s="1" t="s">
        <v>2235</v>
      </c>
      <c r="J325" s="1" t="s">
        <v>2236</v>
      </c>
      <c r="K325" t="s">
        <v>2237</v>
      </c>
      <c r="L325" t="s">
        <v>2238</v>
      </c>
      <c r="M325" t="s">
        <v>33</v>
      </c>
      <c r="N325" t="s">
        <v>49</v>
      </c>
      <c r="O325" t="s">
        <v>50</v>
      </c>
      <c r="P325" t="s">
        <v>29</v>
      </c>
      <c r="Q325">
        <v>0</v>
      </c>
    </row>
    <row r="326" spans="1:17" x14ac:dyDescent="0.25">
      <c r="A326">
        <v>325</v>
      </c>
      <c r="B326" t="s">
        <v>2239</v>
      </c>
      <c r="C326" s="2">
        <v>24688</v>
      </c>
      <c r="D326">
        <v>59</v>
      </c>
      <c r="E326" t="s">
        <v>2240</v>
      </c>
      <c r="F326" s="1" t="s">
        <v>181</v>
      </c>
      <c r="G326" t="s">
        <v>182</v>
      </c>
      <c r="H326" t="s">
        <v>38</v>
      </c>
      <c r="I326" s="1" t="s">
        <v>2241</v>
      </c>
      <c r="J326" s="1" t="s">
        <v>2242</v>
      </c>
      <c r="K326" t="s">
        <v>2243</v>
      </c>
      <c r="L326" t="s">
        <v>2244</v>
      </c>
      <c r="M326" t="s">
        <v>27</v>
      </c>
      <c r="N326" t="s">
        <v>78</v>
      </c>
      <c r="O326" t="s">
        <v>40</v>
      </c>
      <c r="P326" t="s">
        <v>23</v>
      </c>
      <c r="Q326">
        <v>1</v>
      </c>
    </row>
    <row r="327" spans="1:17" x14ac:dyDescent="0.25">
      <c r="A327">
        <v>326</v>
      </c>
      <c r="B327" t="s">
        <v>2245</v>
      </c>
      <c r="C327" s="2">
        <v>28388</v>
      </c>
      <c r="D327">
        <v>49</v>
      </c>
      <c r="E327" t="s">
        <v>2246</v>
      </c>
      <c r="F327" s="1" t="s">
        <v>100</v>
      </c>
      <c r="G327" t="s">
        <v>101</v>
      </c>
      <c r="H327" t="s">
        <v>26</v>
      </c>
      <c r="I327" s="1" t="s">
        <v>2247</v>
      </c>
      <c r="J327" s="1" t="s">
        <v>2248</v>
      </c>
      <c r="K327" t="s">
        <v>2249</v>
      </c>
      <c r="L327" t="s">
        <v>2250</v>
      </c>
      <c r="M327" t="s">
        <v>48</v>
      </c>
      <c r="N327" t="s">
        <v>39</v>
      </c>
      <c r="O327" t="s">
        <v>59</v>
      </c>
      <c r="P327" t="s">
        <v>29</v>
      </c>
      <c r="Q327">
        <v>0</v>
      </c>
    </row>
    <row r="328" spans="1:17" x14ac:dyDescent="0.25">
      <c r="A328">
        <v>327</v>
      </c>
      <c r="B328" t="s">
        <v>2251</v>
      </c>
      <c r="C328" s="2">
        <v>35197</v>
      </c>
      <c r="D328">
        <v>30</v>
      </c>
      <c r="E328" t="s">
        <v>2252</v>
      </c>
      <c r="F328" s="1" t="s">
        <v>153</v>
      </c>
      <c r="G328" t="s">
        <v>154</v>
      </c>
      <c r="H328" t="s">
        <v>104</v>
      </c>
      <c r="I328" s="1" t="s">
        <v>2253</v>
      </c>
      <c r="J328" s="1" t="s">
        <v>2254</v>
      </c>
      <c r="K328" t="s">
        <v>2255</v>
      </c>
      <c r="L328" t="s">
        <v>2256</v>
      </c>
      <c r="M328" t="s">
        <v>48</v>
      </c>
      <c r="N328" t="s">
        <v>54</v>
      </c>
      <c r="O328" t="s">
        <v>59</v>
      </c>
      <c r="P328" t="s">
        <v>29</v>
      </c>
      <c r="Q328">
        <v>0</v>
      </c>
    </row>
    <row r="329" spans="1:17" x14ac:dyDescent="0.25">
      <c r="A329">
        <v>328</v>
      </c>
      <c r="B329" t="s">
        <v>2257</v>
      </c>
      <c r="C329" s="2">
        <v>28451</v>
      </c>
      <c r="D329">
        <v>49</v>
      </c>
      <c r="E329" t="s">
        <v>2258</v>
      </c>
      <c r="F329" s="1" t="s">
        <v>252</v>
      </c>
      <c r="G329" t="s">
        <v>253</v>
      </c>
      <c r="H329" t="s">
        <v>81</v>
      </c>
      <c r="I329" s="1" t="s">
        <v>2259</v>
      </c>
      <c r="J329" s="1" t="s">
        <v>2260</v>
      </c>
      <c r="K329" t="s">
        <v>2261</v>
      </c>
      <c r="L329" t="s">
        <v>2262</v>
      </c>
      <c r="M329" t="s">
        <v>27</v>
      </c>
      <c r="N329" t="s">
        <v>78</v>
      </c>
      <c r="O329" t="s">
        <v>35</v>
      </c>
      <c r="P329" t="s">
        <v>29</v>
      </c>
      <c r="Q329">
        <v>0</v>
      </c>
    </row>
    <row r="330" spans="1:17" x14ac:dyDescent="0.25">
      <c r="A330">
        <v>329</v>
      </c>
      <c r="B330" t="s">
        <v>2263</v>
      </c>
      <c r="C330" s="2">
        <v>30698</v>
      </c>
      <c r="D330">
        <v>42</v>
      </c>
      <c r="E330" t="s">
        <v>2264</v>
      </c>
      <c r="F330" s="1" t="s">
        <v>266</v>
      </c>
      <c r="G330" t="s">
        <v>267</v>
      </c>
      <c r="H330" t="s">
        <v>65</v>
      </c>
      <c r="I330" s="1" t="s">
        <v>2265</v>
      </c>
      <c r="J330" s="1" t="s">
        <v>2266</v>
      </c>
      <c r="K330" t="s">
        <v>2267</v>
      </c>
      <c r="L330" t="s">
        <v>2268</v>
      </c>
      <c r="M330" t="s">
        <v>27</v>
      </c>
      <c r="N330" t="s">
        <v>54</v>
      </c>
      <c r="O330" t="s">
        <v>59</v>
      </c>
      <c r="P330" t="s">
        <v>23</v>
      </c>
      <c r="Q330">
        <v>2</v>
      </c>
    </row>
    <row r="331" spans="1:17" x14ac:dyDescent="0.25">
      <c r="A331">
        <v>330</v>
      </c>
      <c r="B331" t="s">
        <v>2269</v>
      </c>
      <c r="C331" s="2">
        <v>31793</v>
      </c>
      <c r="D331">
        <v>39</v>
      </c>
      <c r="E331" t="s">
        <v>2270</v>
      </c>
      <c r="F331" s="1" t="s">
        <v>155</v>
      </c>
      <c r="G331" t="s">
        <v>156</v>
      </c>
      <c r="H331" t="s">
        <v>126</v>
      </c>
      <c r="I331" s="1" t="s">
        <v>2271</v>
      </c>
      <c r="J331" s="1" t="s">
        <v>2272</v>
      </c>
      <c r="K331" t="s">
        <v>2273</v>
      </c>
      <c r="L331" t="s">
        <v>2274</v>
      </c>
      <c r="M331" t="s">
        <v>48</v>
      </c>
      <c r="N331" t="s">
        <v>150</v>
      </c>
      <c r="O331" t="s">
        <v>22</v>
      </c>
      <c r="P331" t="s">
        <v>23</v>
      </c>
      <c r="Q331">
        <v>3</v>
      </c>
    </row>
    <row r="332" spans="1:17" x14ac:dyDescent="0.25">
      <c r="A332">
        <v>331</v>
      </c>
      <c r="B332" t="s">
        <v>2275</v>
      </c>
      <c r="C332" s="2">
        <v>30130</v>
      </c>
      <c r="D332">
        <v>44</v>
      </c>
      <c r="E332" t="s">
        <v>2276</v>
      </c>
      <c r="F332" s="1" t="s">
        <v>290</v>
      </c>
      <c r="G332" t="s">
        <v>291</v>
      </c>
      <c r="H332" t="s">
        <v>249</v>
      </c>
      <c r="I332" s="1" t="s">
        <v>2277</v>
      </c>
      <c r="J332" s="1" t="s">
        <v>2278</v>
      </c>
      <c r="K332" t="s">
        <v>2279</v>
      </c>
      <c r="L332" t="s">
        <v>2280</v>
      </c>
      <c r="M332" t="s">
        <v>27</v>
      </c>
      <c r="N332" t="s">
        <v>212</v>
      </c>
      <c r="O332" t="s">
        <v>22</v>
      </c>
      <c r="P332" t="s">
        <v>29</v>
      </c>
      <c r="Q332">
        <v>0</v>
      </c>
    </row>
    <row r="333" spans="1:17" x14ac:dyDescent="0.25">
      <c r="A333">
        <v>332</v>
      </c>
      <c r="B333" t="s">
        <v>2281</v>
      </c>
      <c r="C333" s="2">
        <v>39496</v>
      </c>
      <c r="D333">
        <v>18</v>
      </c>
      <c r="E333" t="s">
        <v>2282</v>
      </c>
      <c r="F333" s="1" t="s">
        <v>172</v>
      </c>
      <c r="G333" t="s">
        <v>173</v>
      </c>
      <c r="H333" t="s">
        <v>110</v>
      </c>
      <c r="I333" s="1" t="s">
        <v>2283</v>
      </c>
      <c r="J333" s="1" t="s">
        <v>2284</v>
      </c>
      <c r="K333" t="s">
        <v>2285</v>
      </c>
      <c r="L333" t="s">
        <v>2286</v>
      </c>
      <c r="M333" t="s">
        <v>48</v>
      </c>
      <c r="N333" t="s">
        <v>106</v>
      </c>
      <c r="O333" t="s">
        <v>22</v>
      </c>
      <c r="P333" t="s">
        <v>29</v>
      </c>
      <c r="Q333">
        <v>0</v>
      </c>
    </row>
    <row r="334" spans="1:17" x14ac:dyDescent="0.25">
      <c r="A334">
        <v>333</v>
      </c>
      <c r="B334" t="s">
        <v>2287</v>
      </c>
      <c r="C334" s="2">
        <v>34885</v>
      </c>
      <c r="D334">
        <v>31</v>
      </c>
      <c r="E334" t="s">
        <v>2288</v>
      </c>
      <c r="F334" s="1" t="s">
        <v>30</v>
      </c>
      <c r="G334" t="s">
        <v>31</v>
      </c>
      <c r="H334" t="s">
        <v>32</v>
      </c>
      <c r="I334" s="1" t="s">
        <v>2289</v>
      </c>
      <c r="J334" s="1" t="s">
        <v>2290</v>
      </c>
      <c r="K334" t="s">
        <v>2291</v>
      </c>
      <c r="L334" t="s">
        <v>2292</v>
      </c>
      <c r="M334" t="s">
        <v>33</v>
      </c>
      <c r="N334" t="s">
        <v>114</v>
      </c>
      <c r="O334" t="s">
        <v>50</v>
      </c>
      <c r="P334" t="s">
        <v>23</v>
      </c>
      <c r="Q334">
        <v>3</v>
      </c>
    </row>
    <row r="335" spans="1:17" x14ac:dyDescent="0.25">
      <c r="A335">
        <v>334</v>
      </c>
      <c r="B335" t="s">
        <v>2293</v>
      </c>
      <c r="C335" s="2">
        <v>36601</v>
      </c>
      <c r="D335">
        <v>26</v>
      </c>
      <c r="E335" t="s">
        <v>2294</v>
      </c>
      <c r="F335" s="1" t="s">
        <v>30</v>
      </c>
      <c r="G335" t="s">
        <v>31</v>
      </c>
      <c r="H335" t="s">
        <v>32</v>
      </c>
      <c r="I335" s="1" t="s">
        <v>2295</v>
      </c>
      <c r="J335" s="1" t="s">
        <v>2296</v>
      </c>
      <c r="K335" t="s">
        <v>2297</v>
      </c>
      <c r="L335" t="s">
        <v>2298</v>
      </c>
      <c r="M335" t="s">
        <v>27</v>
      </c>
      <c r="N335" t="s">
        <v>106</v>
      </c>
      <c r="O335" t="s">
        <v>35</v>
      </c>
      <c r="P335" t="s">
        <v>23</v>
      </c>
      <c r="Q335">
        <v>3</v>
      </c>
    </row>
    <row r="336" spans="1:17" x14ac:dyDescent="0.25">
      <c r="A336">
        <v>335</v>
      </c>
      <c r="B336" t="s">
        <v>2299</v>
      </c>
      <c r="C336" s="2">
        <v>24740</v>
      </c>
      <c r="D336">
        <v>59</v>
      </c>
      <c r="E336" t="s">
        <v>2300</v>
      </c>
      <c r="F336" s="1" t="s">
        <v>144</v>
      </c>
      <c r="G336" t="s">
        <v>145</v>
      </c>
      <c r="H336" t="s">
        <v>119</v>
      </c>
      <c r="I336" s="1" t="s">
        <v>2301</v>
      </c>
      <c r="J336" s="1" t="s">
        <v>2302</v>
      </c>
      <c r="K336" t="s">
        <v>2303</v>
      </c>
      <c r="L336" t="s">
        <v>2304</v>
      </c>
      <c r="M336" t="s">
        <v>48</v>
      </c>
      <c r="N336" t="s">
        <v>66</v>
      </c>
      <c r="O336" t="s">
        <v>59</v>
      </c>
      <c r="P336" t="s">
        <v>23</v>
      </c>
      <c r="Q336">
        <v>1</v>
      </c>
    </row>
    <row r="337" spans="1:17" x14ac:dyDescent="0.25">
      <c r="A337">
        <v>336</v>
      </c>
      <c r="B337" t="s">
        <v>2305</v>
      </c>
      <c r="C337" s="2">
        <v>24724</v>
      </c>
      <c r="D337">
        <v>59</v>
      </c>
      <c r="E337" t="s">
        <v>2306</v>
      </c>
      <c r="F337" s="1" t="s">
        <v>131</v>
      </c>
      <c r="G337" t="s">
        <v>132</v>
      </c>
      <c r="H337" t="s">
        <v>47</v>
      </c>
      <c r="I337" s="1" t="s">
        <v>2307</v>
      </c>
      <c r="J337" s="1" t="s">
        <v>2308</v>
      </c>
      <c r="K337" t="s">
        <v>2309</v>
      </c>
      <c r="L337" t="s">
        <v>2310</v>
      </c>
      <c r="M337" t="s">
        <v>48</v>
      </c>
      <c r="N337" t="s">
        <v>150</v>
      </c>
      <c r="O337" t="s">
        <v>59</v>
      </c>
      <c r="P337" t="s">
        <v>23</v>
      </c>
      <c r="Q337">
        <v>3</v>
      </c>
    </row>
    <row r="338" spans="1:17" x14ac:dyDescent="0.25">
      <c r="A338">
        <v>337</v>
      </c>
      <c r="B338" t="s">
        <v>2311</v>
      </c>
      <c r="C338" s="2">
        <v>35137</v>
      </c>
      <c r="D338">
        <v>30</v>
      </c>
      <c r="E338" t="s">
        <v>2312</v>
      </c>
      <c r="F338" s="1" t="s">
        <v>133</v>
      </c>
      <c r="G338" t="s">
        <v>134</v>
      </c>
      <c r="H338" t="s">
        <v>135</v>
      </c>
      <c r="I338" s="1" t="s">
        <v>2313</v>
      </c>
      <c r="J338" s="1" t="s">
        <v>2314</v>
      </c>
      <c r="K338" t="s">
        <v>2315</v>
      </c>
      <c r="L338" t="s">
        <v>2316</v>
      </c>
      <c r="M338" t="s">
        <v>27</v>
      </c>
      <c r="N338" t="s">
        <v>49</v>
      </c>
      <c r="O338" t="s">
        <v>22</v>
      </c>
      <c r="P338" t="s">
        <v>23</v>
      </c>
      <c r="Q338">
        <v>4</v>
      </c>
    </row>
    <row r="339" spans="1:17" x14ac:dyDescent="0.25">
      <c r="A339">
        <v>338</v>
      </c>
      <c r="B339" t="s">
        <v>2317</v>
      </c>
      <c r="C339" s="2">
        <v>31417</v>
      </c>
      <c r="D339">
        <v>40</v>
      </c>
      <c r="E339" t="s">
        <v>2318</v>
      </c>
      <c r="F339" s="1" t="s">
        <v>144</v>
      </c>
      <c r="G339" t="s">
        <v>145</v>
      </c>
      <c r="H339" t="s">
        <v>119</v>
      </c>
      <c r="I339" s="1" t="s">
        <v>2319</v>
      </c>
      <c r="J339" s="1" t="s">
        <v>2320</v>
      </c>
      <c r="K339" t="s">
        <v>2321</v>
      </c>
      <c r="L339" t="s">
        <v>2322</v>
      </c>
      <c r="M339" t="s">
        <v>33</v>
      </c>
      <c r="N339" t="s">
        <v>106</v>
      </c>
      <c r="O339" t="s">
        <v>59</v>
      </c>
      <c r="P339" t="s">
        <v>29</v>
      </c>
      <c r="Q339">
        <v>0</v>
      </c>
    </row>
    <row r="340" spans="1:17" x14ac:dyDescent="0.25">
      <c r="A340">
        <v>339</v>
      </c>
      <c r="B340" t="s">
        <v>2323</v>
      </c>
      <c r="C340" s="2">
        <v>31804</v>
      </c>
      <c r="D340">
        <v>39</v>
      </c>
      <c r="E340" t="s">
        <v>2324</v>
      </c>
      <c r="F340" s="1" t="s">
        <v>276</v>
      </c>
      <c r="G340" t="s">
        <v>277</v>
      </c>
      <c r="H340" t="s">
        <v>38</v>
      </c>
      <c r="I340" s="1" t="s">
        <v>2325</v>
      </c>
      <c r="J340" s="1" t="s">
        <v>2326</v>
      </c>
      <c r="K340" t="s">
        <v>2327</v>
      </c>
      <c r="L340" t="s">
        <v>2328</v>
      </c>
      <c r="M340" t="s">
        <v>27</v>
      </c>
      <c r="N340" t="s">
        <v>28</v>
      </c>
      <c r="O340" t="s">
        <v>59</v>
      </c>
      <c r="P340" t="s">
        <v>29</v>
      </c>
      <c r="Q340">
        <v>0</v>
      </c>
    </row>
    <row r="341" spans="1:17" x14ac:dyDescent="0.25">
      <c r="A341">
        <v>340</v>
      </c>
      <c r="B341" t="s">
        <v>2329</v>
      </c>
      <c r="C341" s="2">
        <v>31141</v>
      </c>
      <c r="D341">
        <v>41</v>
      </c>
      <c r="E341" t="s">
        <v>2330</v>
      </c>
      <c r="F341" s="1" t="s">
        <v>146</v>
      </c>
      <c r="G341" t="s">
        <v>147</v>
      </c>
      <c r="H341" t="s">
        <v>47</v>
      </c>
      <c r="I341" s="1" t="s">
        <v>2331</v>
      </c>
      <c r="J341" s="1" t="s">
        <v>2332</v>
      </c>
      <c r="K341" t="s">
        <v>2333</v>
      </c>
      <c r="L341" t="s">
        <v>2334</v>
      </c>
      <c r="M341" t="s">
        <v>33</v>
      </c>
      <c r="N341" t="s">
        <v>58</v>
      </c>
      <c r="O341" t="s">
        <v>50</v>
      </c>
      <c r="P341" t="s">
        <v>23</v>
      </c>
      <c r="Q341">
        <v>7</v>
      </c>
    </row>
    <row r="342" spans="1:17" x14ac:dyDescent="0.25">
      <c r="A342">
        <v>341</v>
      </c>
      <c r="B342" t="s">
        <v>2335</v>
      </c>
      <c r="C342" s="2">
        <v>26136</v>
      </c>
      <c r="D342">
        <v>55</v>
      </c>
      <c r="E342" t="s">
        <v>2336</v>
      </c>
      <c r="F342" s="1" t="s">
        <v>92</v>
      </c>
      <c r="G342" t="s">
        <v>93</v>
      </c>
      <c r="H342" t="s">
        <v>38</v>
      </c>
      <c r="I342" s="1" t="s">
        <v>2337</v>
      </c>
      <c r="J342" s="1" t="s">
        <v>2338</v>
      </c>
      <c r="K342" t="s">
        <v>2339</v>
      </c>
      <c r="L342" t="s">
        <v>2340</v>
      </c>
      <c r="M342" t="s">
        <v>33</v>
      </c>
      <c r="N342" t="s">
        <v>21</v>
      </c>
      <c r="O342" t="s">
        <v>50</v>
      </c>
      <c r="P342" t="s">
        <v>29</v>
      </c>
      <c r="Q342">
        <v>0</v>
      </c>
    </row>
    <row r="343" spans="1:17" x14ac:dyDescent="0.25">
      <c r="A343">
        <v>342</v>
      </c>
      <c r="B343" t="s">
        <v>2341</v>
      </c>
      <c r="C343" s="2">
        <v>37144</v>
      </c>
      <c r="D343">
        <v>25</v>
      </c>
      <c r="E343" t="s">
        <v>2342</v>
      </c>
      <c r="F343" s="1" t="s">
        <v>202</v>
      </c>
      <c r="G343" t="s">
        <v>203</v>
      </c>
      <c r="H343" t="s">
        <v>43</v>
      </c>
      <c r="I343" s="1" t="s">
        <v>2343</v>
      </c>
      <c r="J343" s="1" t="s">
        <v>2344</v>
      </c>
      <c r="K343" t="s">
        <v>2345</v>
      </c>
      <c r="L343" t="s">
        <v>2346</v>
      </c>
      <c r="M343" t="s">
        <v>48</v>
      </c>
      <c r="N343" t="s">
        <v>114</v>
      </c>
      <c r="O343" t="s">
        <v>22</v>
      </c>
      <c r="P343" t="s">
        <v>23</v>
      </c>
      <c r="Q343">
        <v>1</v>
      </c>
    </row>
    <row r="344" spans="1:17" x14ac:dyDescent="0.25">
      <c r="A344">
        <v>343</v>
      </c>
      <c r="B344" t="s">
        <v>2347</v>
      </c>
      <c r="C344" s="2">
        <v>28387</v>
      </c>
      <c r="D344">
        <v>49</v>
      </c>
      <c r="E344" t="s">
        <v>2348</v>
      </c>
      <c r="F344" s="1" t="s">
        <v>213</v>
      </c>
      <c r="G344" t="s">
        <v>214</v>
      </c>
      <c r="H344" t="s">
        <v>119</v>
      </c>
      <c r="I344" s="1" t="s">
        <v>2349</v>
      </c>
      <c r="J344" s="1" t="s">
        <v>2350</v>
      </c>
      <c r="K344" t="s">
        <v>2351</v>
      </c>
      <c r="L344" t="s">
        <v>2352</v>
      </c>
      <c r="M344" t="s">
        <v>27</v>
      </c>
      <c r="N344" t="s">
        <v>88</v>
      </c>
      <c r="O344" t="s">
        <v>50</v>
      </c>
      <c r="P344" t="s">
        <v>23</v>
      </c>
      <c r="Q344">
        <v>3</v>
      </c>
    </row>
    <row r="345" spans="1:17" x14ac:dyDescent="0.25">
      <c r="A345">
        <v>344</v>
      </c>
      <c r="B345" t="s">
        <v>2353</v>
      </c>
      <c r="C345" s="2">
        <v>30110</v>
      </c>
      <c r="D345">
        <v>44</v>
      </c>
      <c r="E345" t="s">
        <v>2354</v>
      </c>
      <c r="F345" s="1" t="s">
        <v>254</v>
      </c>
      <c r="G345" t="s">
        <v>105</v>
      </c>
      <c r="H345" t="s">
        <v>96</v>
      </c>
      <c r="I345" s="1" t="s">
        <v>2355</v>
      </c>
      <c r="J345" s="1" t="s">
        <v>2356</v>
      </c>
      <c r="K345" t="s">
        <v>2357</v>
      </c>
      <c r="L345" t="s">
        <v>2358</v>
      </c>
      <c r="M345" t="s">
        <v>27</v>
      </c>
      <c r="N345" t="s">
        <v>49</v>
      </c>
      <c r="O345" t="s">
        <v>22</v>
      </c>
      <c r="P345" t="s">
        <v>29</v>
      </c>
      <c r="Q345">
        <v>0</v>
      </c>
    </row>
    <row r="346" spans="1:17" x14ac:dyDescent="0.25">
      <c r="A346">
        <v>345</v>
      </c>
      <c r="B346" t="s">
        <v>2359</v>
      </c>
      <c r="C346" s="2">
        <v>27212</v>
      </c>
      <c r="D346">
        <v>52</v>
      </c>
      <c r="E346" t="s">
        <v>2360</v>
      </c>
      <c r="F346" s="1" t="s">
        <v>79</v>
      </c>
      <c r="G346" t="s">
        <v>80</v>
      </c>
      <c r="H346" t="s">
        <v>81</v>
      </c>
      <c r="I346" s="1" t="s">
        <v>2361</v>
      </c>
      <c r="J346" s="1" t="s">
        <v>2362</v>
      </c>
      <c r="K346" t="s">
        <v>2363</v>
      </c>
      <c r="L346" t="s">
        <v>2364</v>
      </c>
      <c r="M346" t="s">
        <v>33</v>
      </c>
      <c r="N346" t="s">
        <v>67</v>
      </c>
      <c r="O346" t="s">
        <v>22</v>
      </c>
      <c r="P346" t="s">
        <v>23</v>
      </c>
      <c r="Q346">
        <v>1</v>
      </c>
    </row>
    <row r="347" spans="1:17" x14ac:dyDescent="0.25">
      <c r="A347">
        <v>346</v>
      </c>
      <c r="B347" t="s">
        <v>2365</v>
      </c>
      <c r="C347" s="2">
        <v>28065</v>
      </c>
      <c r="D347">
        <v>50</v>
      </c>
      <c r="E347" t="s">
        <v>2366</v>
      </c>
      <c r="F347" s="1" t="s">
        <v>278</v>
      </c>
      <c r="G347" t="s">
        <v>279</v>
      </c>
      <c r="H347" t="s">
        <v>26</v>
      </c>
      <c r="I347" s="1" t="s">
        <v>2367</v>
      </c>
      <c r="J347" s="1" t="s">
        <v>2368</v>
      </c>
      <c r="K347" t="s">
        <v>2369</v>
      </c>
      <c r="L347" t="s">
        <v>2370</v>
      </c>
      <c r="M347" t="s">
        <v>27</v>
      </c>
      <c r="N347" t="s">
        <v>106</v>
      </c>
      <c r="O347" t="s">
        <v>35</v>
      </c>
      <c r="P347" t="s">
        <v>23</v>
      </c>
      <c r="Q347">
        <v>3</v>
      </c>
    </row>
    <row r="348" spans="1:17" x14ac:dyDescent="0.25">
      <c r="A348">
        <v>347</v>
      </c>
      <c r="B348" t="s">
        <v>2371</v>
      </c>
      <c r="C348" s="2">
        <v>37126</v>
      </c>
      <c r="D348">
        <v>25</v>
      </c>
      <c r="E348" t="s">
        <v>2372</v>
      </c>
      <c r="F348" s="1" t="s">
        <v>159</v>
      </c>
      <c r="G348" t="s">
        <v>160</v>
      </c>
      <c r="H348" t="s">
        <v>113</v>
      </c>
      <c r="I348" s="1" t="s">
        <v>2373</v>
      </c>
      <c r="J348" s="1" t="s">
        <v>2374</v>
      </c>
      <c r="K348" t="s">
        <v>2375</v>
      </c>
      <c r="L348" t="s">
        <v>2376</v>
      </c>
      <c r="M348" t="s">
        <v>33</v>
      </c>
      <c r="N348" t="s">
        <v>34</v>
      </c>
      <c r="O348" t="s">
        <v>50</v>
      </c>
      <c r="P348" t="s">
        <v>29</v>
      </c>
      <c r="Q348">
        <v>0</v>
      </c>
    </row>
    <row r="349" spans="1:17" x14ac:dyDescent="0.25">
      <c r="A349">
        <v>348</v>
      </c>
      <c r="B349" t="s">
        <v>2377</v>
      </c>
      <c r="C349" s="2">
        <v>30370</v>
      </c>
      <c r="D349">
        <v>43</v>
      </c>
      <c r="E349" t="s">
        <v>2378</v>
      </c>
      <c r="F349" s="1" t="s">
        <v>163</v>
      </c>
      <c r="G349" t="s">
        <v>164</v>
      </c>
      <c r="H349" t="s">
        <v>32</v>
      </c>
      <c r="I349" s="1" t="s">
        <v>2379</v>
      </c>
      <c r="J349" s="1" t="s">
        <v>2380</v>
      </c>
      <c r="K349" t="s">
        <v>2381</v>
      </c>
      <c r="L349" t="s">
        <v>2382</v>
      </c>
      <c r="M349" t="s">
        <v>27</v>
      </c>
      <c r="N349" t="s">
        <v>44</v>
      </c>
      <c r="O349" t="s">
        <v>22</v>
      </c>
      <c r="P349" t="s">
        <v>29</v>
      </c>
      <c r="Q349">
        <v>0</v>
      </c>
    </row>
    <row r="350" spans="1:17" x14ac:dyDescent="0.25">
      <c r="A350">
        <v>349</v>
      </c>
      <c r="B350" t="s">
        <v>2383</v>
      </c>
      <c r="C350" s="2">
        <v>22771</v>
      </c>
      <c r="D350">
        <v>64</v>
      </c>
      <c r="E350" t="s">
        <v>2384</v>
      </c>
      <c r="F350" s="1" t="s">
        <v>172</v>
      </c>
      <c r="G350" t="s">
        <v>173</v>
      </c>
      <c r="H350" t="s">
        <v>110</v>
      </c>
      <c r="I350" s="1" t="s">
        <v>2385</v>
      </c>
      <c r="J350" s="1" t="s">
        <v>2386</v>
      </c>
      <c r="K350" t="s">
        <v>2387</v>
      </c>
      <c r="L350" t="s">
        <v>2388</v>
      </c>
      <c r="M350" t="s">
        <v>27</v>
      </c>
      <c r="N350" t="s">
        <v>193</v>
      </c>
      <c r="O350" t="s">
        <v>50</v>
      </c>
      <c r="P350" t="s">
        <v>29</v>
      </c>
      <c r="Q350">
        <v>0</v>
      </c>
    </row>
    <row r="351" spans="1:17" x14ac:dyDescent="0.25">
      <c r="A351">
        <v>350</v>
      </c>
      <c r="B351" t="s">
        <v>2389</v>
      </c>
      <c r="C351" s="2">
        <v>38835</v>
      </c>
      <c r="D351">
        <v>20</v>
      </c>
      <c r="E351" t="s">
        <v>2390</v>
      </c>
      <c r="F351" s="1" t="s">
        <v>176</v>
      </c>
      <c r="G351" t="s">
        <v>177</v>
      </c>
      <c r="H351" t="s">
        <v>43</v>
      </c>
      <c r="I351" s="1" t="s">
        <v>2391</v>
      </c>
      <c r="J351" s="1" t="s">
        <v>2392</v>
      </c>
      <c r="K351" t="s">
        <v>2393</v>
      </c>
      <c r="L351" t="s">
        <v>2394</v>
      </c>
      <c r="M351" t="s">
        <v>20</v>
      </c>
      <c r="N351" t="s">
        <v>82</v>
      </c>
      <c r="O351" t="s">
        <v>50</v>
      </c>
      <c r="P351" t="s">
        <v>23</v>
      </c>
      <c r="Q351">
        <v>1</v>
      </c>
    </row>
    <row r="352" spans="1:17" x14ac:dyDescent="0.25">
      <c r="A352">
        <v>351</v>
      </c>
      <c r="B352" t="s">
        <v>2395</v>
      </c>
      <c r="C352" s="2">
        <v>25514</v>
      </c>
      <c r="D352">
        <v>57</v>
      </c>
      <c r="E352" t="s">
        <v>2396</v>
      </c>
      <c r="F352" s="1" t="s">
        <v>228</v>
      </c>
      <c r="G352" t="s">
        <v>229</v>
      </c>
      <c r="H352" t="s">
        <v>126</v>
      </c>
      <c r="I352" s="1" t="s">
        <v>2397</v>
      </c>
      <c r="J352" s="1" t="s">
        <v>2398</v>
      </c>
      <c r="K352" t="s">
        <v>2399</v>
      </c>
      <c r="L352" t="s">
        <v>2400</v>
      </c>
      <c r="M352" t="s">
        <v>48</v>
      </c>
      <c r="N352" t="s">
        <v>150</v>
      </c>
      <c r="O352" t="s">
        <v>40</v>
      </c>
      <c r="P352" t="s">
        <v>29</v>
      </c>
      <c r="Q352">
        <v>0</v>
      </c>
    </row>
    <row r="353" spans="1:17" x14ac:dyDescent="0.25">
      <c r="A353">
        <v>352</v>
      </c>
      <c r="B353" t="s">
        <v>2401</v>
      </c>
      <c r="C353" s="2">
        <v>33966</v>
      </c>
      <c r="D353">
        <v>34</v>
      </c>
      <c r="E353" t="s">
        <v>2402</v>
      </c>
      <c r="F353" s="1" t="s">
        <v>176</v>
      </c>
      <c r="G353" t="s">
        <v>177</v>
      </c>
      <c r="H353" t="s">
        <v>43</v>
      </c>
      <c r="I353" s="1" t="s">
        <v>2403</v>
      </c>
      <c r="J353" s="1" t="s">
        <v>2404</v>
      </c>
      <c r="K353" t="s">
        <v>2405</v>
      </c>
      <c r="L353" t="s">
        <v>2406</v>
      </c>
      <c r="M353" t="s">
        <v>48</v>
      </c>
      <c r="N353" t="s">
        <v>72</v>
      </c>
      <c r="O353" t="s">
        <v>50</v>
      </c>
      <c r="P353" t="s">
        <v>23</v>
      </c>
      <c r="Q353">
        <v>1</v>
      </c>
    </row>
    <row r="354" spans="1:17" x14ac:dyDescent="0.25">
      <c r="A354">
        <v>353</v>
      </c>
      <c r="B354" t="s">
        <v>2407</v>
      </c>
      <c r="C354" s="2">
        <v>39296</v>
      </c>
      <c r="D354">
        <v>19</v>
      </c>
      <c r="E354" t="s">
        <v>2408</v>
      </c>
      <c r="F354" s="1" t="s">
        <v>60</v>
      </c>
      <c r="G354" t="s">
        <v>61</v>
      </c>
      <c r="H354" t="s">
        <v>62</v>
      </c>
      <c r="I354" s="1" t="s">
        <v>2409</v>
      </c>
      <c r="J354" s="1" t="s">
        <v>2410</v>
      </c>
      <c r="K354" t="s">
        <v>2411</v>
      </c>
      <c r="L354" t="s">
        <v>2412</v>
      </c>
      <c r="M354" t="s">
        <v>48</v>
      </c>
      <c r="N354" t="s">
        <v>212</v>
      </c>
      <c r="O354" t="s">
        <v>22</v>
      </c>
      <c r="P354" t="s">
        <v>29</v>
      </c>
      <c r="Q354">
        <v>0</v>
      </c>
    </row>
    <row r="355" spans="1:17" x14ac:dyDescent="0.25">
      <c r="A355">
        <v>354</v>
      </c>
      <c r="B355" t="s">
        <v>2413</v>
      </c>
      <c r="C355" s="2">
        <v>28392</v>
      </c>
      <c r="D355">
        <v>49</v>
      </c>
      <c r="E355" t="s">
        <v>2414</v>
      </c>
      <c r="F355" s="1" t="s">
        <v>30</v>
      </c>
      <c r="G355" t="s">
        <v>31</v>
      </c>
      <c r="H355" t="s">
        <v>32</v>
      </c>
      <c r="I355" s="1" t="s">
        <v>2415</v>
      </c>
      <c r="J355" s="1" t="s">
        <v>2416</v>
      </c>
      <c r="K355" t="s">
        <v>2417</v>
      </c>
      <c r="L355" t="s">
        <v>2418</v>
      </c>
      <c r="M355" t="s">
        <v>48</v>
      </c>
      <c r="N355" t="s">
        <v>193</v>
      </c>
      <c r="O355" t="s">
        <v>35</v>
      </c>
      <c r="P355" t="s">
        <v>23</v>
      </c>
      <c r="Q355">
        <v>2</v>
      </c>
    </row>
    <row r="356" spans="1:17" x14ac:dyDescent="0.25">
      <c r="A356">
        <v>355</v>
      </c>
      <c r="B356" t="s">
        <v>2419</v>
      </c>
      <c r="C356" s="2">
        <v>30693</v>
      </c>
      <c r="D356">
        <v>42</v>
      </c>
      <c r="E356" t="s">
        <v>2420</v>
      </c>
      <c r="F356" s="1" t="s">
        <v>247</v>
      </c>
      <c r="G356" t="s">
        <v>248</v>
      </c>
      <c r="H356" t="s">
        <v>249</v>
      </c>
      <c r="I356" s="1" t="s">
        <v>2421</v>
      </c>
      <c r="J356" s="1" t="s">
        <v>2422</v>
      </c>
      <c r="K356" t="s">
        <v>2423</v>
      </c>
      <c r="L356" t="s">
        <v>2424</v>
      </c>
      <c r="M356" t="s">
        <v>48</v>
      </c>
      <c r="N356" t="s">
        <v>28</v>
      </c>
      <c r="O356" t="s">
        <v>59</v>
      </c>
      <c r="P356" t="s">
        <v>29</v>
      </c>
      <c r="Q356">
        <v>0</v>
      </c>
    </row>
    <row r="357" spans="1:17" x14ac:dyDescent="0.25">
      <c r="A357">
        <v>356</v>
      </c>
      <c r="B357" t="s">
        <v>2425</v>
      </c>
      <c r="C357" s="2">
        <v>35708</v>
      </c>
      <c r="D357">
        <v>29</v>
      </c>
      <c r="E357" t="s">
        <v>2426</v>
      </c>
      <c r="F357" s="1" t="s">
        <v>178</v>
      </c>
      <c r="G357" t="s">
        <v>179</v>
      </c>
      <c r="H357" t="s">
        <v>180</v>
      </c>
      <c r="I357" s="1" t="s">
        <v>2427</v>
      </c>
      <c r="J357" s="1" t="s">
        <v>2428</v>
      </c>
      <c r="K357" t="s">
        <v>2429</v>
      </c>
      <c r="L357" t="s">
        <v>2430</v>
      </c>
      <c r="M357" t="s">
        <v>48</v>
      </c>
      <c r="N357" t="s">
        <v>44</v>
      </c>
      <c r="O357" t="s">
        <v>35</v>
      </c>
      <c r="P357" t="s">
        <v>29</v>
      </c>
      <c r="Q357">
        <v>0</v>
      </c>
    </row>
    <row r="358" spans="1:17" x14ac:dyDescent="0.25">
      <c r="A358">
        <v>357</v>
      </c>
      <c r="B358" t="s">
        <v>2431</v>
      </c>
      <c r="C358" s="2">
        <v>27857</v>
      </c>
      <c r="D358">
        <v>50</v>
      </c>
      <c r="E358" t="s">
        <v>2432</v>
      </c>
      <c r="F358" s="1" t="s">
        <v>153</v>
      </c>
      <c r="G358" t="s">
        <v>154</v>
      </c>
      <c r="H358" t="s">
        <v>104</v>
      </c>
      <c r="I358" s="1" t="s">
        <v>2433</v>
      </c>
      <c r="J358" s="1" t="s">
        <v>2434</v>
      </c>
      <c r="K358" t="s">
        <v>2435</v>
      </c>
      <c r="L358" t="s">
        <v>2436</v>
      </c>
      <c r="M358" t="s">
        <v>48</v>
      </c>
      <c r="N358" t="s">
        <v>150</v>
      </c>
      <c r="O358" t="s">
        <v>59</v>
      </c>
      <c r="P358" t="s">
        <v>23</v>
      </c>
      <c r="Q358">
        <v>2</v>
      </c>
    </row>
    <row r="359" spans="1:17" x14ac:dyDescent="0.25">
      <c r="A359">
        <v>358</v>
      </c>
      <c r="B359" t="s">
        <v>2437</v>
      </c>
      <c r="C359" s="2">
        <v>25182</v>
      </c>
      <c r="D359">
        <v>58</v>
      </c>
      <c r="E359" t="s">
        <v>2438</v>
      </c>
      <c r="F359" s="1" t="s">
        <v>290</v>
      </c>
      <c r="G359" t="s">
        <v>291</v>
      </c>
      <c r="H359" t="s">
        <v>249</v>
      </c>
      <c r="I359" s="1" t="s">
        <v>2439</v>
      </c>
      <c r="J359" s="1" t="s">
        <v>2440</v>
      </c>
      <c r="K359" t="s">
        <v>2441</v>
      </c>
      <c r="L359" t="s">
        <v>2442</v>
      </c>
      <c r="M359" t="s">
        <v>27</v>
      </c>
      <c r="N359" t="s">
        <v>21</v>
      </c>
      <c r="O359" t="s">
        <v>35</v>
      </c>
      <c r="P359" t="s">
        <v>23</v>
      </c>
      <c r="Q359">
        <v>1</v>
      </c>
    </row>
    <row r="360" spans="1:17" x14ac:dyDescent="0.25">
      <c r="A360">
        <v>359</v>
      </c>
      <c r="B360" t="s">
        <v>2443</v>
      </c>
      <c r="C360" s="2">
        <v>33970</v>
      </c>
      <c r="D360">
        <v>33</v>
      </c>
      <c r="E360" t="s">
        <v>2444</v>
      </c>
      <c r="F360" s="1" t="s">
        <v>200</v>
      </c>
      <c r="G360" t="s">
        <v>201</v>
      </c>
      <c r="H360" t="s">
        <v>169</v>
      </c>
      <c r="I360" s="1" t="s">
        <v>2445</v>
      </c>
      <c r="J360" s="1" t="s">
        <v>2446</v>
      </c>
      <c r="K360" t="s">
        <v>2447</v>
      </c>
      <c r="L360" t="s">
        <v>2448</v>
      </c>
      <c r="M360" t="s">
        <v>48</v>
      </c>
      <c r="N360" t="s">
        <v>72</v>
      </c>
      <c r="O360" t="s">
        <v>35</v>
      </c>
      <c r="P360" t="s">
        <v>29</v>
      </c>
      <c r="Q360">
        <v>0</v>
      </c>
    </row>
    <row r="361" spans="1:17" x14ac:dyDescent="0.25">
      <c r="A361">
        <v>360</v>
      </c>
      <c r="B361" t="s">
        <v>2449</v>
      </c>
      <c r="C361" s="2">
        <v>23088</v>
      </c>
      <c r="D361">
        <v>63</v>
      </c>
      <c r="E361" t="s">
        <v>2450</v>
      </c>
      <c r="F361" s="1" t="s">
        <v>129</v>
      </c>
      <c r="G361" t="s">
        <v>130</v>
      </c>
      <c r="H361" t="s">
        <v>77</v>
      </c>
      <c r="I361" s="1" t="s">
        <v>2451</v>
      </c>
      <c r="J361" s="1" t="s">
        <v>2452</v>
      </c>
      <c r="K361" t="s">
        <v>2453</v>
      </c>
      <c r="L361" t="s">
        <v>2454</v>
      </c>
      <c r="M361" t="s">
        <v>27</v>
      </c>
      <c r="N361" t="s">
        <v>28</v>
      </c>
      <c r="O361" t="s">
        <v>22</v>
      </c>
      <c r="P361" t="s">
        <v>29</v>
      </c>
      <c r="Q361">
        <v>0</v>
      </c>
    </row>
    <row r="362" spans="1:17" x14ac:dyDescent="0.25">
      <c r="A362">
        <v>361</v>
      </c>
      <c r="B362" t="s">
        <v>2455</v>
      </c>
      <c r="C362" s="2">
        <v>23634</v>
      </c>
      <c r="D362">
        <v>62</v>
      </c>
      <c r="E362" t="s">
        <v>2456</v>
      </c>
      <c r="F362" s="1" t="s">
        <v>241</v>
      </c>
      <c r="G362" t="s">
        <v>242</v>
      </c>
      <c r="H362" t="s">
        <v>81</v>
      </c>
      <c r="I362" s="1" t="s">
        <v>2457</v>
      </c>
      <c r="J362" s="1" t="s">
        <v>2458</v>
      </c>
      <c r="K362" t="s">
        <v>2459</v>
      </c>
      <c r="L362" t="s">
        <v>2460</v>
      </c>
      <c r="M362" t="s">
        <v>48</v>
      </c>
      <c r="N362" t="s">
        <v>28</v>
      </c>
      <c r="O362" t="s">
        <v>59</v>
      </c>
      <c r="P362" t="s">
        <v>23</v>
      </c>
      <c r="Q362">
        <v>3</v>
      </c>
    </row>
    <row r="363" spans="1:17" x14ac:dyDescent="0.25">
      <c r="A363">
        <v>362</v>
      </c>
      <c r="B363" t="s">
        <v>2461</v>
      </c>
      <c r="C363" s="2">
        <v>31973</v>
      </c>
      <c r="D363">
        <v>39</v>
      </c>
      <c r="E363" t="s">
        <v>2462</v>
      </c>
      <c r="F363" s="1" t="s">
        <v>129</v>
      </c>
      <c r="G363" t="s">
        <v>130</v>
      </c>
      <c r="H363" t="s">
        <v>77</v>
      </c>
      <c r="I363" s="1" t="s">
        <v>2463</v>
      </c>
      <c r="J363" s="1" t="s">
        <v>2464</v>
      </c>
      <c r="K363" t="s">
        <v>2465</v>
      </c>
      <c r="L363" t="s">
        <v>2466</v>
      </c>
      <c r="M363" t="s">
        <v>48</v>
      </c>
      <c r="N363" t="s">
        <v>193</v>
      </c>
      <c r="O363" t="s">
        <v>35</v>
      </c>
      <c r="P363" t="s">
        <v>29</v>
      </c>
      <c r="Q363">
        <v>0</v>
      </c>
    </row>
    <row r="364" spans="1:17" x14ac:dyDescent="0.25">
      <c r="A364">
        <v>363</v>
      </c>
      <c r="B364" t="s">
        <v>2467</v>
      </c>
      <c r="C364" s="2">
        <v>26826</v>
      </c>
      <c r="D364">
        <v>53</v>
      </c>
      <c r="E364" t="s">
        <v>2468</v>
      </c>
      <c r="F364" s="1" t="s">
        <v>276</v>
      </c>
      <c r="G364" t="s">
        <v>277</v>
      </c>
      <c r="H364" t="s">
        <v>38</v>
      </c>
      <c r="I364" s="1" t="s">
        <v>2469</v>
      </c>
      <c r="J364" s="1" t="s">
        <v>2470</v>
      </c>
      <c r="K364" t="s">
        <v>2471</v>
      </c>
      <c r="L364" t="s">
        <v>2472</v>
      </c>
      <c r="M364" t="s">
        <v>48</v>
      </c>
      <c r="N364" t="s">
        <v>106</v>
      </c>
      <c r="O364" t="s">
        <v>50</v>
      </c>
      <c r="P364" t="s">
        <v>29</v>
      </c>
      <c r="Q364">
        <v>0</v>
      </c>
    </row>
    <row r="365" spans="1:17" x14ac:dyDescent="0.25">
      <c r="A365">
        <v>364</v>
      </c>
      <c r="B365" t="s">
        <v>2473</v>
      </c>
      <c r="C365" s="2">
        <v>34723</v>
      </c>
      <c r="D365">
        <v>31</v>
      </c>
      <c r="E365" t="s">
        <v>2474</v>
      </c>
      <c r="F365" s="1" t="s">
        <v>274</v>
      </c>
      <c r="G365" t="s">
        <v>275</v>
      </c>
      <c r="H365" t="s">
        <v>65</v>
      </c>
      <c r="I365" s="1" t="s">
        <v>2475</v>
      </c>
      <c r="J365" s="1" t="s">
        <v>2476</v>
      </c>
      <c r="K365" t="s">
        <v>2477</v>
      </c>
      <c r="L365" t="s">
        <v>2478</v>
      </c>
      <c r="M365" t="s">
        <v>48</v>
      </c>
      <c r="N365" t="s">
        <v>82</v>
      </c>
      <c r="O365" t="s">
        <v>40</v>
      </c>
      <c r="P365" t="s">
        <v>23</v>
      </c>
      <c r="Q365">
        <v>7</v>
      </c>
    </row>
    <row r="366" spans="1:17" x14ac:dyDescent="0.25">
      <c r="A366">
        <v>365</v>
      </c>
      <c r="B366" t="s">
        <v>2479</v>
      </c>
      <c r="C366" s="2">
        <v>34803</v>
      </c>
      <c r="D366">
        <v>31</v>
      </c>
      <c r="E366" t="s">
        <v>2480</v>
      </c>
      <c r="F366" s="1" t="s">
        <v>290</v>
      </c>
      <c r="G366" t="s">
        <v>291</v>
      </c>
      <c r="H366" t="s">
        <v>249</v>
      </c>
      <c r="I366" s="1" t="s">
        <v>2481</v>
      </c>
      <c r="J366" s="1" t="s">
        <v>2482</v>
      </c>
      <c r="K366" t="s">
        <v>2483</v>
      </c>
      <c r="L366" t="s">
        <v>2484</v>
      </c>
      <c r="M366" t="s">
        <v>27</v>
      </c>
      <c r="N366" t="s">
        <v>78</v>
      </c>
      <c r="O366" t="s">
        <v>22</v>
      </c>
      <c r="P366" t="s">
        <v>29</v>
      </c>
      <c r="Q366">
        <v>0</v>
      </c>
    </row>
    <row r="367" spans="1:17" x14ac:dyDescent="0.25">
      <c r="A367">
        <v>366</v>
      </c>
      <c r="B367" t="s">
        <v>2485</v>
      </c>
      <c r="C367" s="2">
        <v>32829</v>
      </c>
      <c r="D367">
        <v>37</v>
      </c>
      <c r="E367" t="s">
        <v>2486</v>
      </c>
      <c r="F367" s="1" t="s">
        <v>79</v>
      </c>
      <c r="G367" t="s">
        <v>80</v>
      </c>
      <c r="H367" t="s">
        <v>81</v>
      </c>
      <c r="I367" s="1" t="s">
        <v>2487</v>
      </c>
      <c r="J367" s="1" t="s">
        <v>2488</v>
      </c>
      <c r="K367" t="s">
        <v>2489</v>
      </c>
      <c r="L367" t="s">
        <v>2490</v>
      </c>
      <c r="M367" t="s">
        <v>48</v>
      </c>
      <c r="N367" t="s">
        <v>54</v>
      </c>
      <c r="O367" t="s">
        <v>59</v>
      </c>
      <c r="P367" t="s">
        <v>29</v>
      </c>
      <c r="Q367">
        <v>0</v>
      </c>
    </row>
    <row r="368" spans="1:17" x14ac:dyDescent="0.25">
      <c r="A368">
        <v>367</v>
      </c>
      <c r="B368" t="s">
        <v>2491</v>
      </c>
      <c r="C368" s="2">
        <v>31075</v>
      </c>
      <c r="D368">
        <v>41</v>
      </c>
      <c r="E368" t="s">
        <v>2492</v>
      </c>
      <c r="F368" s="1" t="s">
        <v>170</v>
      </c>
      <c r="G368" t="s">
        <v>171</v>
      </c>
      <c r="H368" t="s">
        <v>57</v>
      </c>
      <c r="I368" s="1" t="s">
        <v>2493</v>
      </c>
      <c r="J368" s="1" t="s">
        <v>2494</v>
      </c>
      <c r="K368" t="s">
        <v>2495</v>
      </c>
      <c r="L368" t="s">
        <v>2496</v>
      </c>
      <c r="M368" t="s">
        <v>48</v>
      </c>
      <c r="N368" t="s">
        <v>49</v>
      </c>
      <c r="O368" t="s">
        <v>35</v>
      </c>
      <c r="P368" t="s">
        <v>29</v>
      </c>
      <c r="Q368">
        <v>0</v>
      </c>
    </row>
    <row r="369" spans="1:17" x14ac:dyDescent="0.25">
      <c r="A369">
        <v>368</v>
      </c>
      <c r="B369" t="s">
        <v>2497</v>
      </c>
      <c r="C369" s="2">
        <v>30354</v>
      </c>
      <c r="D369">
        <v>43</v>
      </c>
      <c r="E369" t="s">
        <v>2498</v>
      </c>
      <c r="F369" s="1" t="s">
        <v>17</v>
      </c>
      <c r="G369" t="s">
        <v>18</v>
      </c>
      <c r="H369" t="s">
        <v>19</v>
      </c>
      <c r="I369" s="1" t="s">
        <v>2499</v>
      </c>
      <c r="J369" s="1" t="s">
        <v>2500</v>
      </c>
      <c r="K369" t="s">
        <v>2501</v>
      </c>
      <c r="L369" t="s">
        <v>2502</v>
      </c>
      <c r="M369" t="s">
        <v>33</v>
      </c>
      <c r="N369" t="s">
        <v>150</v>
      </c>
      <c r="O369" t="s">
        <v>35</v>
      </c>
      <c r="P369" t="s">
        <v>29</v>
      </c>
      <c r="Q369">
        <v>0</v>
      </c>
    </row>
    <row r="370" spans="1:17" x14ac:dyDescent="0.25">
      <c r="A370">
        <v>369</v>
      </c>
      <c r="B370" t="s">
        <v>2503</v>
      </c>
      <c r="C370" s="2">
        <v>31912</v>
      </c>
      <c r="D370">
        <v>39</v>
      </c>
      <c r="E370" t="s">
        <v>2504</v>
      </c>
      <c r="F370" s="1" t="s">
        <v>239</v>
      </c>
      <c r="G370" t="s">
        <v>240</v>
      </c>
      <c r="H370" t="s">
        <v>119</v>
      </c>
      <c r="I370" s="1" t="s">
        <v>2505</v>
      </c>
      <c r="J370" s="1" t="s">
        <v>2506</v>
      </c>
      <c r="K370" t="s">
        <v>2507</v>
      </c>
      <c r="L370" t="s">
        <v>2508</v>
      </c>
      <c r="M370" t="s">
        <v>48</v>
      </c>
      <c r="N370" t="s">
        <v>150</v>
      </c>
      <c r="O370" t="s">
        <v>59</v>
      </c>
      <c r="P370" t="s">
        <v>23</v>
      </c>
      <c r="Q370">
        <v>6</v>
      </c>
    </row>
    <row r="371" spans="1:17" x14ac:dyDescent="0.25">
      <c r="A371">
        <v>370</v>
      </c>
      <c r="B371" t="s">
        <v>2509</v>
      </c>
      <c r="C371" s="2">
        <v>39401</v>
      </c>
      <c r="D371">
        <v>19</v>
      </c>
      <c r="E371" t="s">
        <v>2510</v>
      </c>
      <c r="F371" s="1" t="s">
        <v>286</v>
      </c>
      <c r="G371" t="s">
        <v>287</v>
      </c>
      <c r="H371" t="s">
        <v>32</v>
      </c>
      <c r="I371" s="1" t="s">
        <v>2511</v>
      </c>
      <c r="J371" s="1" t="s">
        <v>2512</v>
      </c>
      <c r="K371" t="s">
        <v>2513</v>
      </c>
      <c r="L371" t="s">
        <v>2514</v>
      </c>
      <c r="M371" t="s">
        <v>27</v>
      </c>
      <c r="N371" t="s">
        <v>39</v>
      </c>
      <c r="O371" t="s">
        <v>22</v>
      </c>
      <c r="P371" t="s">
        <v>23</v>
      </c>
      <c r="Q371">
        <v>4</v>
      </c>
    </row>
    <row r="372" spans="1:17" x14ac:dyDescent="0.25">
      <c r="A372">
        <v>371</v>
      </c>
      <c r="B372" t="s">
        <v>2515</v>
      </c>
      <c r="C372" s="2">
        <v>24669</v>
      </c>
      <c r="D372">
        <v>59</v>
      </c>
      <c r="E372" t="s">
        <v>2516</v>
      </c>
      <c r="F372" s="1" t="s">
        <v>219</v>
      </c>
      <c r="G372" t="s">
        <v>220</v>
      </c>
      <c r="H372" t="s">
        <v>71</v>
      </c>
      <c r="I372" s="1" t="s">
        <v>2517</v>
      </c>
      <c r="J372" s="1" t="s">
        <v>2518</v>
      </c>
      <c r="K372" t="s">
        <v>2519</v>
      </c>
      <c r="L372" t="s">
        <v>2520</v>
      </c>
      <c r="M372" t="s">
        <v>27</v>
      </c>
      <c r="N372" t="s">
        <v>72</v>
      </c>
      <c r="O372" t="s">
        <v>59</v>
      </c>
      <c r="P372" t="s">
        <v>23</v>
      </c>
      <c r="Q372">
        <v>3</v>
      </c>
    </row>
    <row r="373" spans="1:17" x14ac:dyDescent="0.25">
      <c r="A373">
        <v>372</v>
      </c>
      <c r="B373" t="s">
        <v>2521</v>
      </c>
      <c r="C373" s="2">
        <v>24910</v>
      </c>
      <c r="D373">
        <v>58</v>
      </c>
      <c r="E373" t="s">
        <v>2522</v>
      </c>
      <c r="F373" s="1" t="s">
        <v>266</v>
      </c>
      <c r="G373" t="s">
        <v>267</v>
      </c>
      <c r="H373" t="s">
        <v>65</v>
      </c>
      <c r="I373" s="1" t="s">
        <v>2523</v>
      </c>
      <c r="J373" s="1" t="s">
        <v>2524</v>
      </c>
      <c r="K373" t="s">
        <v>2525</v>
      </c>
      <c r="L373" t="s">
        <v>2526</v>
      </c>
      <c r="M373" t="s">
        <v>27</v>
      </c>
      <c r="N373" t="s">
        <v>193</v>
      </c>
      <c r="O373" t="s">
        <v>50</v>
      </c>
      <c r="P373" t="s">
        <v>29</v>
      </c>
      <c r="Q373">
        <v>0</v>
      </c>
    </row>
    <row r="374" spans="1:17" x14ac:dyDescent="0.25">
      <c r="A374">
        <v>373</v>
      </c>
      <c r="B374" t="s">
        <v>2527</v>
      </c>
      <c r="C374" s="2">
        <v>35969</v>
      </c>
      <c r="D374">
        <v>28</v>
      </c>
      <c r="E374" t="s">
        <v>2528</v>
      </c>
      <c r="F374" s="1" t="s">
        <v>264</v>
      </c>
      <c r="G374" t="s">
        <v>265</v>
      </c>
      <c r="H374" t="s">
        <v>65</v>
      </c>
      <c r="I374" s="1" t="s">
        <v>2529</v>
      </c>
      <c r="J374" s="1" t="s">
        <v>2530</v>
      </c>
      <c r="K374" t="s">
        <v>2531</v>
      </c>
      <c r="L374" t="s">
        <v>2532</v>
      </c>
      <c r="M374" t="s">
        <v>27</v>
      </c>
      <c r="N374" t="s">
        <v>54</v>
      </c>
      <c r="O374" t="s">
        <v>59</v>
      </c>
      <c r="P374" t="s">
        <v>23</v>
      </c>
      <c r="Q374">
        <v>2</v>
      </c>
    </row>
    <row r="375" spans="1:17" x14ac:dyDescent="0.25">
      <c r="A375">
        <v>374</v>
      </c>
      <c r="B375" t="s">
        <v>2533</v>
      </c>
      <c r="C375" s="2">
        <v>26447</v>
      </c>
      <c r="D375">
        <v>54</v>
      </c>
      <c r="E375" t="s">
        <v>2534</v>
      </c>
      <c r="F375" s="1" t="s">
        <v>170</v>
      </c>
      <c r="G375" t="s">
        <v>171</v>
      </c>
      <c r="H375" t="s">
        <v>57</v>
      </c>
      <c r="I375" s="1" t="s">
        <v>2535</v>
      </c>
      <c r="J375" s="1" t="s">
        <v>2536</v>
      </c>
      <c r="K375" t="s">
        <v>2537</v>
      </c>
      <c r="L375" t="s">
        <v>2538</v>
      </c>
      <c r="M375" t="s">
        <v>48</v>
      </c>
      <c r="N375" t="s">
        <v>99</v>
      </c>
      <c r="O375" t="s">
        <v>59</v>
      </c>
      <c r="P375" t="s">
        <v>29</v>
      </c>
      <c r="Q375">
        <v>0</v>
      </c>
    </row>
    <row r="376" spans="1:17" x14ac:dyDescent="0.25">
      <c r="A376">
        <v>375</v>
      </c>
      <c r="B376" t="s">
        <v>2539</v>
      </c>
      <c r="C376" s="2">
        <v>27172</v>
      </c>
      <c r="D376">
        <v>52</v>
      </c>
      <c r="E376" t="s">
        <v>2540</v>
      </c>
      <c r="F376" s="1" t="s">
        <v>108</v>
      </c>
      <c r="G376" t="s">
        <v>109</v>
      </c>
      <c r="H376" t="s">
        <v>110</v>
      </c>
      <c r="I376" s="1" t="s">
        <v>2541</v>
      </c>
      <c r="J376" s="1" t="s">
        <v>2542</v>
      </c>
      <c r="K376" t="s">
        <v>2543</v>
      </c>
      <c r="L376" t="s">
        <v>2544</v>
      </c>
      <c r="M376" t="s">
        <v>48</v>
      </c>
      <c r="N376" t="s">
        <v>66</v>
      </c>
      <c r="O376" t="s">
        <v>22</v>
      </c>
      <c r="P376" t="s">
        <v>29</v>
      </c>
      <c r="Q376">
        <v>0</v>
      </c>
    </row>
    <row r="377" spans="1:17" x14ac:dyDescent="0.25">
      <c r="A377">
        <v>376</v>
      </c>
      <c r="B377" t="s">
        <v>2545</v>
      </c>
      <c r="C377" s="2">
        <v>33339</v>
      </c>
      <c r="D377">
        <v>35</v>
      </c>
      <c r="E377" t="s">
        <v>2546</v>
      </c>
      <c r="F377" s="1" t="s">
        <v>45</v>
      </c>
      <c r="G377" t="s">
        <v>46</v>
      </c>
      <c r="H377" t="s">
        <v>47</v>
      </c>
      <c r="I377" s="1" t="s">
        <v>2547</v>
      </c>
      <c r="J377" s="1" t="s">
        <v>2548</v>
      </c>
      <c r="K377" t="s">
        <v>2549</v>
      </c>
      <c r="L377" t="s">
        <v>2550</v>
      </c>
      <c r="M377" t="s">
        <v>33</v>
      </c>
      <c r="N377" t="s">
        <v>66</v>
      </c>
      <c r="O377" t="s">
        <v>35</v>
      </c>
      <c r="P377" t="s">
        <v>29</v>
      </c>
      <c r="Q377">
        <v>0</v>
      </c>
    </row>
    <row r="378" spans="1:17" x14ac:dyDescent="0.25">
      <c r="A378">
        <v>377</v>
      </c>
      <c r="B378" t="s">
        <v>2551</v>
      </c>
      <c r="C378" s="2">
        <v>28135</v>
      </c>
      <c r="D378">
        <v>49</v>
      </c>
      <c r="E378" t="s">
        <v>2552</v>
      </c>
      <c r="F378" s="1" t="s">
        <v>176</v>
      </c>
      <c r="G378" t="s">
        <v>177</v>
      </c>
      <c r="H378" t="s">
        <v>43</v>
      </c>
      <c r="I378" s="1" t="s">
        <v>2553</v>
      </c>
      <c r="J378" s="1" t="s">
        <v>2554</v>
      </c>
      <c r="K378" t="s">
        <v>2555</v>
      </c>
      <c r="L378" t="s">
        <v>2556</v>
      </c>
      <c r="M378" t="s">
        <v>27</v>
      </c>
      <c r="N378" t="s">
        <v>58</v>
      </c>
      <c r="O378" t="s">
        <v>35</v>
      </c>
      <c r="P378" t="s">
        <v>29</v>
      </c>
      <c r="Q378">
        <v>0</v>
      </c>
    </row>
    <row r="379" spans="1:17" x14ac:dyDescent="0.25">
      <c r="A379">
        <v>378</v>
      </c>
      <c r="B379" t="s">
        <v>2557</v>
      </c>
      <c r="C379" s="2">
        <v>34803</v>
      </c>
      <c r="D379">
        <v>31</v>
      </c>
      <c r="E379" t="s">
        <v>2558</v>
      </c>
      <c r="F379" s="1" t="s">
        <v>290</v>
      </c>
      <c r="G379" t="s">
        <v>291</v>
      </c>
      <c r="H379" t="s">
        <v>249</v>
      </c>
      <c r="I379" s="1" t="s">
        <v>2559</v>
      </c>
      <c r="J379" s="1" t="s">
        <v>2560</v>
      </c>
      <c r="K379" t="s">
        <v>2561</v>
      </c>
      <c r="L379" t="s">
        <v>2562</v>
      </c>
      <c r="M379" t="s">
        <v>48</v>
      </c>
      <c r="N379" t="s">
        <v>193</v>
      </c>
      <c r="O379" t="s">
        <v>50</v>
      </c>
      <c r="P379" t="s">
        <v>29</v>
      </c>
      <c r="Q379">
        <v>0</v>
      </c>
    </row>
    <row r="380" spans="1:17" x14ac:dyDescent="0.25">
      <c r="A380">
        <v>379</v>
      </c>
      <c r="B380" t="s">
        <v>2563</v>
      </c>
      <c r="C380" s="2">
        <v>34337</v>
      </c>
      <c r="D380">
        <v>32</v>
      </c>
      <c r="E380" t="s">
        <v>2564</v>
      </c>
      <c r="F380" s="1" t="s">
        <v>270</v>
      </c>
      <c r="G380" t="s">
        <v>271</v>
      </c>
      <c r="H380" t="s">
        <v>81</v>
      </c>
      <c r="I380" s="1" t="s">
        <v>2565</v>
      </c>
      <c r="J380" s="1" t="s">
        <v>2566</v>
      </c>
      <c r="K380" t="s">
        <v>2567</v>
      </c>
      <c r="L380" t="s">
        <v>2568</v>
      </c>
      <c r="M380" t="s">
        <v>20</v>
      </c>
      <c r="N380" t="s">
        <v>72</v>
      </c>
      <c r="O380" t="s">
        <v>59</v>
      </c>
      <c r="P380" t="s">
        <v>29</v>
      </c>
      <c r="Q380">
        <v>0</v>
      </c>
    </row>
    <row r="381" spans="1:17" x14ac:dyDescent="0.25">
      <c r="A381">
        <v>380</v>
      </c>
      <c r="B381" t="s">
        <v>2569</v>
      </c>
      <c r="C381" s="2">
        <v>26259</v>
      </c>
      <c r="D381">
        <v>55</v>
      </c>
      <c r="E381" t="s">
        <v>2570</v>
      </c>
      <c r="F381" s="1" t="s">
        <v>254</v>
      </c>
      <c r="G381" t="s">
        <v>105</v>
      </c>
      <c r="H381" t="s">
        <v>96</v>
      </c>
      <c r="I381" s="1" t="s">
        <v>2571</v>
      </c>
      <c r="J381" s="1" t="s">
        <v>2572</v>
      </c>
      <c r="K381" t="s">
        <v>2573</v>
      </c>
      <c r="L381" t="s">
        <v>2574</v>
      </c>
      <c r="M381" t="s">
        <v>27</v>
      </c>
      <c r="N381" t="s">
        <v>44</v>
      </c>
      <c r="O381" t="s">
        <v>40</v>
      </c>
      <c r="P381" t="s">
        <v>23</v>
      </c>
      <c r="Q381">
        <v>3</v>
      </c>
    </row>
    <row r="382" spans="1:17" x14ac:dyDescent="0.25">
      <c r="A382">
        <v>381</v>
      </c>
      <c r="B382" t="s">
        <v>2575</v>
      </c>
      <c r="C382" s="2">
        <v>31127</v>
      </c>
      <c r="D382">
        <v>41</v>
      </c>
      <c r="E382" t="s">
        <v>2576</v>
      </c>
      <c r="F382" s="1" t="s">
        <v>200</v>
      </c>
      <c r="G382" t="s">
        <v>201</v>
      </c>
      <c r="H382" t="s">
        <v>169</v>
      </c>
      <c r="I382" s="1" t="s">
        <v>2577</v>
      </c>
      <c r="J382" s="1" t="s">
        <v>2578</v>
      </c>
      <c r="K382" t="s">
        <v>2579</v>
      </c>
      <c r="L382" t="s">
        <v>2580</v>
      </c>
      <c r="M382" t="s">
        <v>48</v>
      </c>
      <c r="N382" t="s">
        <v>34</v>
      </c>
      <c r="O382" t="s">
        <v>22</v>
      </c>
      <c r="P382" t="s">
        <v>23</v>
      </c>
      <c r="Q382">
        <v>3</v>
      </c>
    </row>
    <row r="383" spans="1:17" x14ac:dyDescent="0.25">
      <c r="A383">
        <v>382</v>
      </c>
      <c r="B383" t="s">
        <v>2581</v>
      </c>
      <c r="C383" s="2">
        <v>35339</v>
      </c>
      <c r="D383">
        <v>30</v>
      </c>
      <c r="E383" t="s">
        <v>2582</v>
      </c>
      <c r="F383" s="1" t="s">
        <v>243</v>
      </c>
      <c r="G383" t="s">
        <v>244</v>
      </c>
      <c r="H383" t="s">
        <v>135</v>
      </c>
      <c r="I383" s="1" t="s">
        <v>2583</v>
      </c>
      <c r="J383" s="1" t="s">
        <v>2584</v>
      </c>
      <c r="K383" t="s">
        <v>2585</v>
      </c>
      <c r="L383" t="s">
        <v>2586</v>
      </c>
      <c r="M383" t="s">
        <v>48</v>
      </c>
      <c r="N383" t="s">
        <v>67</v>
      </c>
      <c r="O383" t="s">
        <v>50</v>
      </c>
      <c r="P383" t="s">
        <v>23</v>
      </c>
      <c r="Q383">
        <v>1</v>
      </c>
    </row>
    <row r="384" spans="1:17" x14ac:dyDescent="0.25">
      <c r="A384">
        <v>383</v>
      </c>
      <c r="B384" t="s">
        <v>2587</v>
      </c>
      <c r="C384" s="2">
        <v>31876</v>
      </c>
      <c r="D384">
        <v>39</v>
      </c>
      <c r="E384" t="s">
        <v>2588</v>
      </c>
      <c r="F384" s="1" t="s">
        <v>239</v>
      </c>
      <c r="G384" t="s">
        <v>240</v>
      </c>
      <c r="H384" t="s">
        <v>119</v>
      </c>
      <c r="I384" s="1" t="s">
        <v>2589</v>
      </c>
      <c r="J384" s="1" t="s">
        <v>2590</v>
      </c>
      <c r="K384" t="s">
        <v>2591</v>
      </c>
      <c r="L384" t="s">
        <v>2592</v>
      </c>
      <c r="M384" t="s">
        <v>27</v>
      </c>
      <c r="N384" t="s">
        <v>72</v>
      </c>
      <c r="O384" t="s">
        <v>59</v>
      </c>
      <c r="P384" t="s">
        <v>23</v>
      </c>
      <c r="Q384">
        <v>1</v>
      </c>
    </row>
    <row r="385" spans="1:17" x14ac:dyDescent="0.25">
      <c r="A385">
        <v>384</v>
      </c>
      <c r="B385" t="s">
        <v>2593</v>
      </c>
      <c r="C385" s="2">
        <v>28852</v>
      </c>
      <c r="D385">
        <v>48</v>
      </c>
      <c r="E385" t="s">
        <v>2594</v>
      </c>
      <c r="F385" s="1" t="s">
        <v>153</v>
      </c>
      <c r="G385" t="s">
        <v>154</v>
      </c>
      <c r="H385" t="s">
        <v>104</v>
      </c>
      <c r="I385" s="1" t="s">
        <v>2595</v>
      </c>
      <c r="J385" s="1" t="s">
        <v>2596</v>
      </c>
      <c r="K385" t="s">
        <v>2597</v>
      </c>
      <c r="L385" t="s">
        <v>2598</v>
      </c>
      <c r="M385" t="s">
        <v>27</v>
      </c>
      <c r="N385" t="s">
        <v>67</v>
      </c>
      <c r="O385" t="s">
        <v>35</v>
      </c>
      <c r="P385" t="s">
        <v>23</v>
      </c>
      <c r="Q385">
        <v>3</v>
      </c>
    </row>
    <row r="386" spans="1:17" x14ac:dyDescent="0.25">
      <c r="A386">
        <v>385</v>
      </c>
      <c r="B386" t="s">
        <v>2599</v>
      </c>
      <c r="C386" s="2">
        <v>29469</v>
      </c>
      <c r="D386">
        <v>46</v>
      </c>
      <c r="E386" t="s">
        <v>2600</v>
      </c>
      <c r="F386" s="1" t="s">
        <v>75</v>
      </c>
      <c r="G386" t="s">
        <v>76</v>
      </c>
      <c r="H386" t="s">
        <v>77</v>
      </c>
      <c r="I386" s="1" t="s">
        <v>2601</v>
      </c>
      <c r="J386" s="1" t="s">
        <v>2602</v>
      </c>
      <c r="K386" t="s">
        <v>2603</v>
      </c>
      <c r="L386" t="s">
        <v>2604</v>
      </c>
      <c r="M386" t="s">
        <v>33</v>
      </c>
      <c r="N386" t="s">
        <v>99</v>
      </c>
      <c r="O386" t="s">
        <v>22</v>
      </c>
      <c r="P386" t="s">
        <v>29</v>
      </c>
      <c r="Q386">
        <v>0</v>
      </c>
    </row>
    <row r="387" spans="1:17" x14ac:dyDescent="0.25">
      <c r="A387">
        <v>386</v>
      </c>
      <c r="B387" t="s">
        <v>2605</v>
      </c>
      <c r="C387" s="2">
        <v>31967</v>
      </c>
      <c r="D387">
        <v>39</v>
      </c>
      <c r="E387" t="s">
        <v>2606</v>
      </c>
      <c r="F387" s="1" t="s">
        <v>284</v>
      </c>
      <c r="G387" t="s">
        <v>285</v>
      </c>
      <c r="H387" t="s">
        <v>104</v>
      </c>
      <c r="I387" s="1" t="s">
        <v>2607</v>
      </c>
      <c r="J387" s="1" t="s">
        <v>2608</v>
      </c>
      <c r="K387" t="s">
        <v>2609</v>
      </c>
      <c r="L387" t="s">
        <v>2610</v>
      </c>
      <c r="M387" t="s">
        <v>68</v>
      </c>
      <c r="N387" t="s">
        <v>114</v>
      </c>
      <c r="O387" t="s">
        <v>40</v>
      </c>
      <c r="P387" t="s">
        <v>29</v>
      </c>
      <c r="Q387">
        <v>0</v>
      </c>
    </row>
    <row r="388" spans="1:17" x14ac:dyDescent="0.25">
      <c r="A388">
        <v>387</v>
      </c>
      <c r="B388" t="s">
        <v>2611</v>
      </c>
      <c r="C388" s="2">
        <v>36536</v>
      </c>
      <c r="D388">
        <v>26</v>
      </c>
      <c r="E388" t="s">
        <v>107</v>
      </c>
      <c r="F388" s="1" t="s">
        <v>108</v>
      </c>
      <c r="G388" t="s">
        <v>109</v>
      </c>
      <c r="H388" t="s">
        <v>110</v>
      </c>
      <c r="I388" s="1" t="s">
        <v>2612</v>
      </c>
      <c r="J388" s="1" t="s">
        <v>2613</v>
      </c>
      <c r="K388" t="s">
        <v>2614</v>
      </c>
      <c r="L388" t="s">
        <v>2615</v>
      </c>
      <c r="M388" t="s">
        <v>48</v>
      </c>
      <c r="N388" t="s">
        <v>88</v>
      </c>
      <c r="O388" t="s">
        <v>40</v>
      </c>
      <c r="P388" t="s">
        <v>23</v>
      </c>
      <c r="Q388">
        <v>1</v>
      </c>
    </row>
    <row r="389" spans="1:17" x14ac:dyDescent="0.25">
      <c r="A389">
        <v>388</v>
      </c>
      <c r="B389" t="s">
        <v>2616</v>
      </c>
      <c r="C389" s="2">
        <v>36082</v>
      </c>
      <c r="D389">
        <v>28</v>
      </c>
      <c r="E389" t="s">
        <v>2617</v>
      </c>
      <c r="F389" s="1" t="s">
        <v>247</v>
      </c>
      <c r="G389" t="s">
        <v>248</v>
      </c>
      <c r="H389" t="s">
        <v>249</v>
      </c>
      <c r="I389" s="1" t="s">
        <v>2618</v>
      </c>
      <c r="J389" s="1" t="s">
        <v>2619</v>
      </c>
      <c r="K389" t="s">
        <v>2620</v>
      </c>
      <c r="L389" t="s">
        <v>2621</v>
      </c>
      <c r="M389" t="s">
        <v>20</v>
      </c>
      <c r="N389" t="s">
        <v>39</v>
      </c>
      <c r="O389" t="s">
        <v>35</v>
      </c>
      <c r="P389" t="s">
        <v>23</v>
      </c>
      <c r="Q389">
        <v>2</v>
      </c>
    </row>
    <row r="390" spans="1:17" x14ac:dyDescent="0.25">
      <c r="A390">
        <v>389</v>
      </c>
      <c r="B390" t="s">
        <v>2622</v>
      </c>
      <c r="C390" s="2">
        <v>28146</v>
      </c>
      <c r="D390">
        <v>49</v>
      </c>
      <c r="E390" t="s">
        <v>2623</v>
      </c>
      <c r="F390" s="1" t="s">
        <v>252</v>
      </c>
      <c r="G390" t="s">
        <v>253</v>
      </c>
      <c r="H390" t="s">
        <v>81</v>
      </c>
      <c r="I390" s="1" t="s">
        <v>2624</v>
      </c>
      <c r="J390" s="1" t="s">
        <v>2625</v>
      </c>
      <c r="K390" t="s">
        <v>2626</v>
      </c>
      <c r="L390" t="s">
        <v>2627</v>
      </c>
      <c r="M390" t="s">
        <v>27</v>
      </c>
      <c r="N390" t="s">
        <v>54</v>
      </c>
      <c r="O390" t="s">
        <v>50</v>
      </c>
      <c r="P390" t="s">
        <v>23</v>
      </c>
      <c r="Q390">
        <v>2</v>
      </c>
    </row>
    <row r="391" spans="1:17" x14ac:dyDescent="0.25">
      <c r="A391">
        <v>390</v>
      </c>
      <c r="B391" t="s">
        <v>2628</v>
      </c>
      <c r="C391" s="2">
        <v>37907</v>
      </c>
      <c r="D391">
        <v>23</v>
      </c>
      <c r="E391" t="s">
        <v>2629</v>
      </c>
      <c r="F391" s="1" t="s">
        <v>264</v>
      </c>
      <c r="G391" t="s">
        <v>265</v>
      </c>
      <c r="H391" t="s">
        <v>65</v>
      </c>
      <c r="I391" s="1" t="s">
        <v>2630</v>
      </c>
      <c r="J391" s="1" t="s">
        <v>2631</v>
      </c>
      <c r="K391" t="s">
        <v>2632</v>
      </c>
      <c r="L391" t="s">
        <v>2633</v>
      </c>
      <c r="M391" t="s">
        <v>27</v>
      </c>
      <c r="N391" t="s">
        <v>34</v>
      </c>
      <c r="O391" t="s">
        <v>59</v>
      </c>
      <c r="P391" t="s">
        <v>29</v>
      </c>
      <c r="Q391">
        <v>0</v>
      </c>
    </row>
    <row r="392" spans="1:17" x14ac:dyDescent="0.25">
      <c r="A392">
        <v>391</v>
      </c>
      <c r="B392" t="s">
        <v>2634</v>
      </c>
      <c r="C392" s="2">
        <v>39185</v>
      </c>
      <c r="D392">
        <v>19</v>
      </c>
      <c r="E392" t="s">
        <v>2635</v>
      </c>
      <c r="F392" s="1" t="s">
        <v>63</v>
      </c>
      <c r="G392" t="s">
        <v>64</v>
      </c>
      <c r="H392" t="s">
        <v>65</v>
      </c>
      <c r="I392" s="1" t="s">
        <v>2636</v>
      </c>
      <c r="J392" s="1" t="s">
        <v>2637</v>
      </c>
      <c r="K392" t="s">
        <v>2638</v>
      </c>
      <c r="L392" t="s">
        <v>2639</v>
      </c>
      <c r="M392" t="s">
        <v>27</v>
      </c>
      <c r="N392" t="s">
        <v>78</v>
      </c>
      <c r="O392" t="s">
        <v>50</v>
      </c>
      <c r="P392" t="s">
        <v>29</v>
      </c>
      <c r="Q392">
        <v>0</v>
      </c>
    </row>
    <row r="393" spans="1:17" x14ac:dyDescent="0.25">
      <c r="A393">
        <v>392</v>
      </c>
      <c r="B393" t="s">
        <v>2640</v>
      </c>
      <c r="C393" s="2">
        <v>23024</v>
      </c>
      <c r="D393">
        <v>63</v>
      </c>
      <c r="E393" t="s">
        <v>2641</v>
      </c>
      <c r="F393" s="1" t="s">
        <v>92</v>
      </c>
      <c r="G393" t="s">
        <v>93</v>
      </c>
      <c r="H393" t="s">
        <v>38</v>
      </c>
      <c r="I393" s="1" t="s">
        <v>2642</v>
      </c>
      <c r="J393" s="1" t="s">
        <v>2643</v>
      </c>
      <c r="K393" t="s">
        <v>2644</v>
      </c>
      <c r="L393" t="s">
        <v>2645</v>
      </c>
      <c r="M393" t="s">
        <v>27</v>
      </c>
      <c r="N393" t="s">
        <v>72</v>
      </c>
      <c r="O393" t="s">
        <v>59</v>
      </c>
      <c r="P393" t="s">
        <v>23</v>
      </c>
      <c r="Q393">
        <v>1</v>
      </c>
    </row>
    <row r="394" spans="1:17" x14ac:dyDescent="0.25">
      <c r="A394">
        <v>393</v>
      </c>
      <c r="B394" t="s">
        <v>2646</v>
      </c>
      <c r="C394" s="2">
        <v>37582</v>
      </c>
      <c r="D394">
        <v>24</v>
      </c>
      <c r="E394" t="s">
        <v>2647</v>
      </c>
      <c r="F394" s="1" t="s">
        <v>117</v>
      </c>
      <c r="G394" t="s">
        <v>118</v>
      </c>
      <c r="H394" t="s">
        <v>119</v>
      </c>
      <c r="I394" s="1" t="s">
        <v>2648</v>
      </c>
      <c r="J394" s="1" t="s">
        <v>2649</v>
      </c>
      <c r="K394" t="s">
        <v>2650</v>
      </c>
      <c r="L394" t="s">
        <v>2651</v>
      </c>
      <c r="M394" t="s">
        <v>48</v>
      </c>
      <c r="N394" t="s">
        <v>106</v>
      </c>
      <c r="O394" t="s">
        <v>35</v>
      </c>
      <c r="P394" t="s">
        <v>29</v>
      </c>
      <c r="Q394">
        <v>0</v>
      </c>
    </row>
    <row r="395" spans="1:17" x14ac:dyDescent="0.25">
      <c r="A395">
        <v>394</v>
      </c>
      <c r="B395" t="s">
        <v>2652</v>
      </c>
      <c r="C395" s="2">
        <v>28971</v>
      </c>
      <c r="D395">
        <v>47</v>
      </c>
      <c r="E395" t="s">
        <v>2653</v>
      </c>
      <c r="F395" s="1" t="s">
        <v>290</v>
      </c>
      <c r="G395" t="s">
        <v>291</v>
      </c>
      <c r="H395" t="s">
        <v>249</v>
      </c>
      <c r="I395" s="1" t="s">
        <v>2654</v>
      </c>
      <c r="J395" s="1" t="s">
        <v>2655</v>
      </c>
      <c r="K395" t="s">
        <v>2656</v>
      </c>
      <c r="L395" t="s">
        <v>2657</v>
      </c>
      <c r="M395" t="s">
        <v>68</v>
      </c>
      <c r="N395" t="s">
        <v>44</v>
      </c>
      <c r="O395" t="s">
        <v>50</v>
      </c>
      <c r="P395" t="s">
        <v>23</v>
      </c>
      <c r="Q395">
        <v>1</v>
      </c>
    </row>
    <row r="396" spans="1:17" x14ac:dyDescent="0.25">
      <c r="A396">
        <v>395</v>
      </c>
      <c r="B396" t="s">
        <v>2658</v>
      </c>
      <c r="C396" s="2">
        <v>33021</v>
      </c>
      <c r="D396">
        <v>36</v>
      </c>
      <c r="E396" t="s">
        <v>2659</v>
      </c>
      <c r="F396" s="1" t="s">
        <v>204</v>
      </c>
      <c r="G396" t="s">
        <v>205</v>
      </c>
      <c r="H396" t="s">
        <v>26</v>
      </c>
      <c r="I396" s="1" t="s">
        <v>2660</v>
      </c>
      <c r="J396" s="1" t="s">
        <v>2661</v>
      </c>
      <c r="K396" t="s">
        <v>2662</v>
      </c>
      <c r="L396" t="s">
        <v>2663</v>
      </c>
      <c r="M396" t="s">
        <v>48</v>
      </c>
      <c r="N396" t="s">
        <v>21</v>
      </c>
      <c r="O396" t="s">
        <v>50</v>
      </c>
      <c r="P396" t="s">
        <v>29</v>
      </c>
      <c r="Q396">
        <v>0</v>
      </c>
    </row>
    <row r="397" spans="1:17" x14ac:dyDescent="0.25">
      <c r="A397">
        <v>396</v>
      </c>
      <c r="B397" t="s">
        <v>2664</v>
      </c>
      <c r="C397" s="2">
        <v>28912</v>
      </c>
      <c r="D397">
        <v>47</v>
      </c>
      <c r="E397" t="s">
        <v>2665</v>
      </c>
      <c r="F397" s="1" t="s">
        <v>255</v>
      </c>
      <c r="G397" t="s">
        <v>256</v>
      </c>
      <c r="H397" t="s">
        <v>257</v>
      </c>
      <c r="I397" s="1" t="s">
        <v>2666</v>
      </c>
      <c r="J397" s="1" t="s">
        <v>2667</v>
      </c>
      <c r="K397" t="s">
        <v>2668</v>
      </c>
      <c r="L397" t="s">
        <v>2669</v>
      </c>
      <c r="M397" t="s">
        <v>48</v>
      </c>
      <c r="N397" t="s">
        <v>106</v>
      </c>
      <c r="O397" t="s">
        <v>35</v>
      </c>
      <c r="P397" t="s">
        <v>23</v>
      </c>
      <c r="Q397">
        <v>2</v>
      </c>
    </row>
    <row r="398" spans="1:17" x14ac:dyDescent="0.25">
      <c r="A398">
        <v>397</v>
      </c>
      <c r="B398" t="s">
        <v>2670</v>
      </c>
      <c r="C398" s="2">
        <v>29405</v>
      </c>
      <c r="D398">
        <v>46</v>
      </c>
      <c r="E398" t="s">
        <v>2671</v>
      </c>
      <c r="F398" s="1" t="s">
        <v>55</v>
      </c>
      <c r="G398" t="s">
        <v>56</v>
      </c>
      <c r="H398" t="s">
        <v>57</v>
      </c>
      <c r="I398" s="1" t="s">
        <v>2672</v>
      </c>
      <c r="J398" s="1" t="s">
        <v>2673</v>
      </c>
      <c r="K398" t="s">
        <v>2674</v>
      </c>
      <c r="L398" t="s">
        <v>2675</v>
      </c>
      <c r="M398" t="s">
        <v>48</v>
      </c>
      <c r="N398" t="s">
        <v>212</v>
      </c>
      <c r="O398" t="s">
        <v>35</v>
      </c>
      <c r="P398" t="s">
        <v>29</v>
      </c>
      <c r="Q398">
        <v>0</v>
      </c>
    </row>
    <row r="399" spans="1:17" x14ac:dyDescent="0.25">
      <c r="A399">
        <v>398</v>
      </c>
      <c r="B399" t="s">
        <v>2676</v>
      </c>
      <c r="C399" s="2">
        <v>28555</v>
      </c>
      <c r="D399">
        <v>48</v>
      </c>
      <c r="E399" t="s">
        <v>2677</v>
      </c>
      <c r="F399" s="1" t="s">
        <v>111</v>
      </c>
      <c r="G399" t="s">
        <v>112</v>
      </c>
      <c r="H399" t="s">
        <v>113</v>
      </c>
      <c r="I399" s="1" t="s">
        <v>2678</v>
      </c>
      <c r="J399" s="1" t="s">
        <v>2679</v>
      </c>
      <c r="K399" t="s">
        <v>2680</v>
      </c>
      <c r="L399" t="s">
        <v>2681</v>
      </c>
      <c r="M399" t="s">
        <v>48</v>
      </c>
      <c r="N399" t="s">
        <v>49</v>
      </c>
      <c r="O399" t="s">
        <v>59</v>
      </c>
      <c r="P399" t="s">
        <v>29</v>
      </c>
      <c r="Q399">
        <v>0</v>
      </c>
    </row>
    <row r="400" spans="1:17" x14ac:dyDescent="0.25">
      <c r="A400">
        <v>399</v>
      </c>
      <c r="B400" t="s">
        <v>2682</v>
      </c>
      <c r="C400" s="2">
        <v>38444</v>
      </c>
      <c r="D400">
        <v>21</v>
      </c>
      <c r="E400" t="s">
        <v>2683</v>
      </c>
      <c r="F400" s="1" t="s">
        <v>142</v>
      </c>
      <c r="G400" t="s">
        <v>143</v>
      </c>
      <c r="H400" t="s">
        <v>19</v>
      </c>
      <c r="I400" s="1" t="s">
        <v>2684</v>
      </c>
      <c r="J400" s="1" t="s">
        <v>2685</v>
      </c>
      <c r="K400" t="s">
        <v>2686</v>
      </c>
      <c r="L400" t="s">
        <v>2687</v>
      </c>
      <c r="M400" t="s">
        <v>48</v>
      </c>
      <c r="N400" t="s">
        <v>99</v>
      </c>
      <c r="O400" t="s">
        <v>40</v>
      </c>
      <c r="P400" t="s">
        <v>23</v>
      </c>
      <c r="Q400">
        <v>1</v>
      </c>
    </row>
    <row r="401" spans="1:17" x14ac:dyDescent="0.25">
      <c r="A401">
        <v>400</v>
      </c>
      <c r="B401" t="s">
        <v>2688</v>
      </c>
      <c r="C401" s="2">
        <v>22842</v>
      </c>
      <c r="D401">
        <v>64</v>
      </c>
      <c r="E401" t="s">
        <v>2689</v>
      </c>
      <c r="F401" s="1" t="s">
        <v>133</v>
      </c>
      <c r="G401" t="s">
        <v>134</v>
      </c>
      <c r="H401" t="s">
        <v>135</v>
      </c>
      <c r="I401" s="1" t="s">
        <v>2690</v>
      </c>
      <c r="J401" s="1" t="s">
        <v>2691</v>
      </c>
      <c r="K401" t="s">
        <v>2692</v>
      </c>
      <c r="L401" t="s">
        <v>2693</v>
      </c>
      <c r="M401" t="s">
        <v>27</v>
      </c>
      <c r="N401" t="s">
        <v>78</v>
      </c>
      <c r="O401" t="s">
        <v>59</v>
      </c>
      <c r="P401" t="s">
        <v>29</v>
      </c>
      <c r="Q401">
        <v>0</v>
      </c>
    </row>
    <row r="402" spans="1:17" x14ac:dyDescent="0.25">
      <c r="A402">
        <v>401</v>
      </c>
      <c r="B402" t="s">
        <v>2694</v>
      </c>
      <c r="C402" s="2">
        <v>30115</v>
      </c>
      <c r="D402">
        <v>44</v>
      </c>
      <c r="E402" t="s">
        <v>2695</v>
      </c>
      <c r="F402" s="1" t="s">
        <v>161</v>
      </c>
      <c r="G402" t="s">
        <v>162</v>
      </c>
      <c r="H402" t="s">
        <v>53</v>
      </c>
      <c r="I402" s="1" t="s">
        <v>2696</v>
      </c>
      <c r="J402" s="1" t="s">
        <v>2697</v>
      </c>
      <c r="K402" t="s">
        <v>2698</v>
      </c>
      <c r="L402" t="s">
        <v>2699</v>
      </c>
      <c r="M402" t="s">
        <v>33</v>
      </c>
      <c r="N402" t="s">
        <v>82</v>
      </c>
      <c r="O402" t="s">
        <v>35</v>
      </c>
      <c r="P402" t="s">
        <v>29</v>
      </c>
      <c r="Q402">
        <v>0</v>
      </c>
    </row>
    <row r="403" spans="1:17" x14ac:dyDescent="0.25">
      <c r="A403">
        <v>402</v>
      </c>
      <c r="B403" t="s">
        <v>2700</v>
      </c>
      <c r="C403" s="2">
        <v>27969</v>
      </c>
      <c r="D403">
        <v>50</v>
      </c>
      <c r="E403" t="s">
        <v>2701</v>
      </c>
      <c r="F403" s="1" t="s">
        <v>55</v>
      </c>
      <c r="G403" t="s">
        <v>56</v>
      </c>
      <c r="H403" t="s">
        <v>57</v>
      </c>
      <c r="I403" s="1" t="s">
        <v>2702</v>
      </c>
      <c r="J403" s="1" t="s">
        <v>2703</v>
      </c>
      <c r="K403" t="s">
        <v>2704</v>
      </c>
      <c r="L403" t="s">
        <v>2705</v>
      </c>
      <c r="M403" t="s">
        <v>27</v>
      </c>
      <c r="N403" t="s">
        <v>88</v>
      </c>
      <c r="O403" t="s">
        <v>50</v>
      </c>
      <c r="P403" t="s">
        <v>29</v>
      </c>
      <c r="Q403">
        <v>0</v>
      </c>
    </row>
    <row r="404" spans="1:17" x14ac:dyDescent="0.25">
      <c r="A404">
        <v>403</v>
      </c>
      <c r="B404" t="s">
        <v>2706</v>
      </c>
      <c r="C404" s="2">
        <v>28967</v>
      </c>
      <c r="D404">
        <v>47</v>
      </c>
      <c r="E404" t="s">
        <v>2707</v>
      </c>
      <c r="F404" s="1" t="s">
        <v>17</v>
      </c>
      <c r="G404" t="s">
        <v>18</v>
      </c>
      <c r="H404" t="s">
        <v>19</v>
      </c>
      <c r="I404" s="1" t="s">
        <v>2708</v>
      </c>
      <c r="J404" s="1" t="s">
        <v>2709</v>
      </c>
      <c r="K404" t="s">
        <v>2710</v>
      </c>
      <c r="L404" t="s">
        <v>2711</v>
      </c>
      <c r="M404" t="s">
        <v>48</v>
      </c>
      <c r="N404" t="s">
        <v>66</v>
      </c>
      <c r="O404" t="s">
        <v>40</v>
      </c>
      <c r="P404" t="s">
        <v>23</v>
      </c>
      <c r="Q404">
        <v>1</v>
      </c>
    </row>
    <row r="405" spans="1:17" x14ac:dyDescent="0.25">
      <c r="A405">
        <v>404</v>
      </c>
      <c r="B405" t="s">
        <v>2712</v>
      </c>
      <c r="C405" s="2">
        <v>35270</v>
      </c>
      <c r="D405">
        <v>30</v>
      </c>
      <c r="E405" t="s">
        <v>2713</v>
      </c>
      <c r="F405" s="1" t="s">
        <v>94</v>
      </c>
      <c r="G405" t="s">
        <v>95</v>
      </c>
      <c r="H405" t="s">
        <v>96</v>
      </c>
      <c r="I405" s="1" t="s">
        <v>2714</v>
      </c>
      <c r="J405" s="1" t="s">
        <v>2715</v>
      </c>
      <c r="K405" t="s">
        <v>2716</v>
      </c>
      <c r="L405" t="s">
        <v>2717</v>
      </c>
      <c r="M405" t="s">
        <v>27</v>
      </c>
      <c r="N405" t="s">
        <v>58</v>
      </c>
      <c r="O405" t="s">
        <v>59</v>
      </c>
      <c r="P405" t="s">
        <v>23</v>
      </c>
      <c r="Q405">
        <v>3</v>
      </c>
    </row>
    <row r="406" spans="1:17" x14ac:dyDescent="0.25">
      <c r="A406">
        <v>405</v>
      </c>
      <c r="B406" t="s">
        <v>2718</v>
      </c>
      <c r="C406" s="2">
        <v>38357</v>
      </c>
      <c r="D406">
        <v>21</v>
      </c>
      <c r="E406" t="s">
        <v>2719</v>
      </c>
      <c r="F406" s="1" t="s">
        <v>266</v>
      </c>
      <c r="G406" t="s">
        <v>267</v>
      </c>
      <c r="H406" t="s">
        <v>65</v>
      </c>
      <c r="I406" s="1" t="s">
        <v>2720</v>
      </c>
      <c r="J406" s="1" t="s">
        <v>2721</v>
      </c>
      <c r="K406" t="s">
        <v>2722</v>
      </c>
      <c r="L406" t="s">
        <v>2723</v>
      </c>
      <c r="M406" t="s">
        <v>27</v>
      </c>
      <c r="N406" t="s">
        <v>49</v>
      </c>
      <c r="O406" t="s">
        <v>59</v>
      </c>
      <c r="P406" t="s">
        <v>23</v>
      </c>
      <c r="Q406">
        <v>3</v>
      </c>
    </row>
    <row r="407" spans="1:17" x14ac:dyDescent="0.25">
      <c r="A407">
        <v>406</v>
      </c>
      <c r="B407" t="s">
        <v>2724</v>
      </c>
      <c r="C407" s="2">
        <v>35470</v>
      </c>
      <c r="D407">
        <v>29</v>
      </c>
      <c r="E407" t="s">
        <v>2725</v>
      </c>
      <c r="F407" s="1" t="s">
        <v>252</v>
      </c>
      <c r="G407" t="s">
        <v>253</v>
      </c>
      <c r="H407" t="s">
        <v>81</v>
      </c>
      <c r="I407" s="1" t="s">
        <v>2726</v>
      </c>
      <c r="J407" s="1" t="s">
        <v>2727</v>
      </c>
      <c r="K407" t="s">
        <v>2728</v>
      </c>
      <c r="L407" t="s">
        <v>2729</v>
      </c>
      <c r="M407" t="s">
        <v>27</v>
      </c>
      <c r="N407" t="s">
        <v>99</v>
      </c>
      <c r="O407" t="s">
        <v>50</v>
      </c>
      <c r="P407" t="s">
        <v>29</v>
      </c>
      <c r="Q407">
        <v>0</v>
      </c>
    </row>
    <row r="408" spans="1:17" x14ac:dyDescent="0.25">
      <c r="A408">
        <v>407</v>
      </c>
      <c r="B408" t="s">
        <v>2730</v>
      </c>
      <c r="C408" s="2">
        <v>22441</v>
      </c>
      <c r="D408">
        <v>65</v>
      </c>
      <c r="E408" t="s">
        <v>2731</v>
      </c>
      <c r="F408" s="1" t="s">
        <v>198</v>
      </c>
      <c r="G408" t="s">
        <v>199</v>
      </c>
      <c r="H408" t="s">
        <v>104</v>
      </c>
      <c r="I408" s="1" t="s">
        <v>2732</v>
      </c>
      <c r="J408" s="1" t="s">
        <v>2733</v>
      </c>
      <c r="K408" t="s">
        <v>2734</v>
      </c>
      <c r="L408" t="s">
        <v>2735</v>
      </c>
      <c r="M408" t="s">
        <v>27</v>
      </c>
      <c r="N408" t="s">
        <v>212</v>
      </c>
      <c r="O408" t="s">
        <v>22</v>
      </c>
      <c r="P408" t="s">
        <v>23</v>
      </c>
      <c r="Q408">
        <v>10</v>
      </c>
    </row>
    <row r="409" spans="1:17" x14ac:dyDescent="0.25">
      <c r="A409">
        <v>408</v>
      </c>
      <c r="B409" t="s">
        <v>2736</v>
      </c>
      <c r="C409" s="2">
        <v>23722</v>
      </c>
      <c r="D409">
        <v>62</v>
      </c>
      <c r="E409" t="s">
        <v>2737</v>
      </c>
      <c r="F409" s="1" t="s">
        <v>247</v>
      </c>
      <c r="G409" t="s">
        <v>248</v>
      </c>
      <c r="H409" t="s">
        <v>249</v>
      </c>
      <c r="I409" s="1" t="s">
        <v>2738</v>
      </c>
      <c r="J409" s="1" t="s">
        <v>2739</v>
      </c>
      <c r="K409" t="s">
        <v>2740</v>
      </c>
      <c r="L409" t="s">
        <v>2741</v>
      </c>
      <c r="M409" t="s">
        <v>33</v>
      </c>
      <c r="N409" t="s">
        <v>49</v>
      </c>
      <c r="O409" t="s">
        <v>22</v>
      </c>
      <c r="P409" t="s">
        <v>29</v>
      </c>
      <c r="Q409">
        <v>0</v>
      </c>
    </row>
    <row r="410" spans="1:17" x14ac:dyDescent="0.25">
      <c r="A410">
        <v>409</v>
      </c>
      <c r="B410" t="s">
        <v>2742</v>
      </c>
      <c r="C410" s="2">
        <v>25378</v>
      </c>
      <c r="D410">
        <v>57</v>
      </c>
      <c r="E410" t="s">
        <v>2743</v>
      </c>
      <c r="F410" s="1" t="s">
        <v>30</v>
      </c>
      <c r="G410" t="s">
        <v>31</v>
      </c>
      <c r="H410" t="s">
        <v>32</v>
      </c>
      <c r="I410" s="1" t="s">
        <v>2744</v>
      </c>
      <c r="J410" s="1" t="s">
        <v>2745</v>
      </c>
      <c r="K410" t="s">
        <v>2746</v>
      </c>
      <c r="L410" t="s">
        <v>2747</v>
      </c>
      <c r="M410" t="s">
        <v>33</v>
      </c>
      <c r="N410" t="s">
        <v>106</v>
      </c>
      <c r="O410" t="s">
        <v>59</v>
      </c>
      <c r="P410" t="s">
        <v>29</v>
      </c>
      <c r="Q410">
        <v>0</v>
      </c>
    </row>
    <row r="411" spans="1:17" x14ac:dyDescent="0.25">
      <c r="A411">
        <v>410</v>
      </c>
      <c r="B411" t="s">
        <v>2748</v>
      </c>
      <c r="C411" s="2">
        <v>37913</v>
      </c>
      <c r="D411">
        <v>23</v>
      </c>
      <c r="E411" t="s">
        <v>2749</v>
      </c>
      <c r="F411" s="1" t="s">
        <v>232</v>
      </c>
      <c r="G411" t="s">
        <v>233</v>
      </c>
      <c r="H411" t="s">
        <v>19</v>
      </c>
      <c r="I411" s="1" t="s">
        <v>2750</v>
      </c>
      <c r="J411" s="1" t="s">
        <v>2751</v>
      </c>
      <c r="K411" t="s">
        <v>2752</v>
      </c>
      <c r="L411" t="s">
        <v>2753</v>
      </c>
      <c r="M411" t="s">
        <v>33</v>
      </c>
      <c r="N411" t="s">
        <v>54</v>
      </c>
      <c r="O411" t="s">
        <v>22</v>
      </c>
      <c r="P411" t="s">
        <v>29</v>
      </c>
      <c r="Q411">
        <v>0</v>
      </c>
    </row>
    <row r="412" spans="1:17" x14ac:dyDescent="0.25">
      <c r="A412">
        <v>411</v>
      </c>
      <c r="B412" t="s">
        <v>2754</v>
      </c>
      <c r="C412" s="2">
        <v>27689</v>
      </c>
      <c r="D412">
        <v>51</v>
      </c>
      <c r="E412" t="s">
        <v>2755</v>
      </c>
      <c r="F412" s="1" t="s">
        <v>252</v>
      </c>
      <c r="G412" t="s">
        <v>253</v>
      </c>
      <c r="H412" t="s">
        <v>81</v>
      </c>
      <c r="I412" s="1" t="s">
        <v>2756</v>
      </c>
      <c r="J412" s="1" t="s">
        <v>2757</v>
      </c>
      <c r="K412" t="s">
        <v>2758</v>
      </c>
      <c r="L412" t="s">
        <v>2759</v>
      </c>
      <c r="M412" t="s">
        <v>27</v>
      </c>
      <c r="N412" t="s">
        <v>78</v>
      </c>
      <c r="O412" t="s">
        <v>40</v>
      </c>
      <c r="P412" t="s">
        <v>23</v>
      </c>
      <c r="Q412">
        <v>1</v>
      </c>
    </row>
    <row r="413" spans="1:17" x14ac:dyDescent="0.25">
      <c r="A413">
        <v>412</v>
      </c>
      <c r="B413" t="s">
        <v>2760</v>
      </c>
      <c r="C413" s="2">
        <v>29242</v>
      </c>
      <c r="D413">
        <v>46</v>
      </c>
      <c r="E413" t="s">
        <v>2761</v>
      </c>
      <c r="F413" s="1" t="s">
        <v>252</v>
      </c>
      <c r="G413" t="s">
        <v>253</v>
      </c>
      <c r="H413" t="s">
        <v>81</v>
      </c>
      <c r="I413" s="1" t="s">
        <v>2762</v>
      </c>
      <c r="J413" s="1" t="s">
        <v>2763</v>
      </c>
      <c r="K413" t="s">
        <v>2764</v>
      </c>
      <c r="L413" t="s">
        <v>2765</v>
      </c>
      <c r="M413" t="s">
        <v>48</v>
      </c>
      <c r="N413" t="s">
        <v>58</v>
      </c>
      <c r="O413" t="s">
        <v>59</v>
      </c>
      <c r="P413" t="s">
        <v>23</v>
      </c>
      <c r="Q413">
        <v>1</v>
      </c>
    </row>
    <row r="414" spans="1:17" x14ac:dyDescent="0.25">
      <c r="A414">
        <v>413</v>
      </c>
      <c r="B414" t="s">
        <v>2766</v>
      </c>
      <c r="C414" s="2">
        <v>35951</v>
      </c>
      <c r="D414">
        <v>28</v>
      </c>
      <c r="E414" t="s">
        <v>2767</v>
      </c>
      <c r="F414" s="1" t="s">
        <v>282</v>
      </c>
      <c r="G414" t="s">
        <v>283</v>
      </c>
      <c r="H414" t="s">
        <v>53</v>
      </c>
      <c r="I414" s="1" t="s">
        <v>2768</v>
      </c>
      <c r="J414" s="1" t="s">
        <v>2769</v>
      </c>
      <c r="K414" t="s">
        <v>2770</v>
      </c>
      <c r="L414" t="s">
        <v>2771</v>
      </c>
      <c r="M414" t="s">
        <v>48</v>
      </c>
      <c r="N414" t="s">
        <v>88</v>
      </c>
      <c r="O414" t="s">
        <v>35</v>
      </c>
      <c r="P414" t="s">
        <v>23</v>
      </c>
      <c r="Q414">
        <v>7</v>
      </c>
    </row>
    <row r="415" spans="1:17" x14ac:dyDescent="0.25">
      <c r="A415">
        <v>414</v>
      </c>
      <c r="B415" t="s">
        <v>2772</v>
      </c>
      <c r="C415" s="2">
        <v>33292</v>
      </c>
      <c r="D415">
        <v>35</v>
      </c>
      <c r="E415" t="s">
        <v>2773</v>
      </c>
      <c r="F415" s="1" t="s">
        <v>210</v>
      </c>
      <c r="G415" t="s">
        <v>211</v>
      </c>
      <c r="H415" t="s">
        <v>57</v>
      </c>
      <c r="I415" s="1" t="s">
        <v>2774</v>
      </c>
      <c r="J415" s="1" t="s">
        <v>2775</v>
      </c>
      <c r="K415" t="s">
        <v>2776</v>
      </c>
      <c r="L415" t="s">
        <v>2777</v>
      </c>
      <c r="M415" t="s">
        <v>27</v>
      </c>
      <c r="N415" t="s">
        <v>106</v>
      </c>
      <c r="O415" t="s">
        <v>40</v>
      </c>
      <c r="P415" t="s">
        <v>29</v>
      </c>
      <c r="Q415">
        <v>0</v>
      </c>
    </row>
    <row r="416" spans="1:17" x14ac:dyDescent="0.25">
      <c r="A416">
        <v>415</v>
      </c>
      <c r="B416" t="s">
        <v>2778</v>
      </c>
      <c r="C416" s="2">
        <v>39193</v>
      </c>
      <c r="D416">
        <v>19</v>
      </c>
      <c r="E416" t="s">
        <v>2779</v>
      </c>
      <c r="F416" s="1" t="s">
        <v>170</v>
      </c>
      <c r="G416" t="s">
        <v>171</v>
      </c>
      <c r="H416" t="s">
        <v>57</v>
      </c>
      <c r="I416" s="1" t="s">
        <v>2780</v>
      </c>
      <c r="J416" s="1" t="s">
        <v>2781</v>
      </c>
      <c r="K416" t="s">
        <v>2782</v>
      </c>
      <c r="L416" t="s">
        <v>2783</v>
      </c>
      <c r="M416" t="s">
        <v>48</v>
      </c>
      <c r="N416" t="s">
        <v>106</v>
      </c>
      <c r="O416" t="s">
        <v>50</v>
      </c>
      <c r="P416" t="s">
        <v>29</v>
      </c>
      <c r="Q416">
        <v>0</v>
      </c>
    </row>
    <row r="417" spans="1:17" x14ac:dyDescent="0.25">
      <c r="A417">
        <v>416</v>
      </c>
      <c r="B417" t="s">
        <v>2784</v>
      </c>
      <c r="C417" s="2">
        <v>34886</v>
      </c>
      <c r="D417">
        <v>31</v>
      </c>
      <c r="E417" t="s">
        <v>2785</v>
      </c>
      <c r="F417" s="1" t="s">
        <v>215</v>
      </c>
      <c r="G417" t="s">
        <v>216</v>
      </c>
      <c r="H417" t="s">
        <v>113</v>
      </c>
      <c r="I417" s="1" t="s">
        <v>2786</v>
      </c>
      <c r="J417" s="1" t="s">
        <v>2787</v>
      </c>
      <c r="K417" t="s">
        <v>2788</v>
      </c>
      <c r="L417" t="s">
        <v>2789</v>
      </c>
      <c r="M417" t="s">
        <v>27</v>
      </c>
      <c r="N417" t="s">
        <v>54</v>
      </c>
      <c r="O417" t="s">
        <v>50</v>
      </c>
      <c r="P417" t="s">
        <v>29</v>
      </c>
      <c r="Q417">
        <v>0</v>
      </c>
    </row>
    <row r="418" spans="1:17" x14ac:dyDescent="0.25">
      <c r="A418">
        <v>417</v>
      </c>
      <c r="B418" t="s">
        <v>2790</v>
      </c>
      <c r="C418" s="2">
        <v>38813</v>
      </c>
      <c r="D418">
        <v>20</v>
      </c>
      <c r="E418" t="s">
        <v>2791</v>
      </c>
      <c r="F418" s="1" t="s">
        <v>133</v>
      </c>
      <c r="G418" t="s">
        <v>134</v>
      </c>
      <c r="H418" t="s">
        <v>135</v>
      </c>
      <c r="I418" s="1" t="s">
        <v>2792</v>
      </c>
      <c r="J418" s="1" t="s">
        <v>2793</v>
      </c>
      <c r="K418" t="s">
        <v>2794</v>
      </c>
      <c r="L418" t="s">
        <v>2795</v>
      </c>
      <c r="M418" t="s">
        <v>27</v>
      </c>
      <c r="N418" t="s">
        <v>212</v>
      </c>
      <c r="O418" t="s">
        <v>50</v>
      </c>
      <c r="P418" t="s">
        <v>29</v>
      </c>
      <c r="Q418">
        <v>0</v>
      </c>
    </row>
    <row r="419" spans="1:17" x14ac:dyDescent="0.25">
      <c r="A419">
        <v>418</v>
      </c>
      <c r="B419" t="s">
        <v>2796</v>
      </c>
      <c r="C419" s="2">
        <v>27368</v>
      </c>
      <c r="D419">
        <v>52</v>
      </c>
      <c r="E419" t="s">
        <v>2797</v>
      </c>
      <c r="F419" s="1" t="s">
        <v>247</v>
      </c>
      <c r="G419" t="s">
        <v>248</v>
      </c>
      <c r="H419" t="s">
        <v>249</v>
      </c>
      <c r="I419" s="1" t="s">
        <v>2798</v>
      </c>
      <c r="J419" s="1" t="s">
        <v>2799</v>
      </c>
      <c r="K419" t="s">
        <v>2800</v>
      </c>
      <c r="L419" t="s">
        <v>2801</v>
      </c>
      <c r="M419" t="s">
        <v>48</v>
      </c>
      <c r="N419" t="s">
        <v>82</v>
      </c>
      <c r="O419" t="s">
        <v>59</v>
      </c>
      <c r="P419" t="s">
        <v>23</v>
      </c>
      <c r="Q419">
        <v>1</v>
      </c>
    </row>
    <row r="420" spans="1:17" x14ac:dyDescent="0.25">
      <c r="A420">
        <v>419</v>
      </c>
      <c r="B420" t="s">
        <v>2802</v>
      </c>
      <c r="C420" s="2">
        <v>29633</v>
      </c>
      <c r="D420">
        <v>45</v>
      </c>
      <c r="E420" t="s">
        <v>2803</v>
      </c>
      <c r="F420" s="1" t="s">
        <v>100</v>
      </c>
      <c r="G420" t="s">
        <v>101</v>
      </c>
      <c r="H420" t="s">
        <v>26</v>
      </c>
      <c r="I420" s="1" t="s">
        <v>2804</v>
      </c>
      <c r="J420" s="1" t="s">
        <v>2805</v>
      </c>
      <c r="K420" t="s">
        <v>2806</v>
      </c>
      <c r="L420" t="s">
        <v>2807</v>
      </c>
      <c r="M420" t="s">
        <v>48</v>
      </c>
      <c r="N420" t="s">
        <v>150</v>
      </c>
      <c r="O420" t="s">
        <v>35</v>
      </c>
      <c r="P420" t="s">
        <v>29</v>
      </c>
      <c r="Q420">
        <v>0</v>
      </c>
    </row>
    <row r="421" spans="1:17" x14ac:dyDescent="0.25">
      <c r="A421">
        <v>420</v>
      </c>
      <c r="B421" t="s">
        <v>2808</v>
      </c>
      <c r="C421" s="2">
        <v>31171</v>
      </c>
      <c r="D421">
        <v>41</v>
      </c>
      <c r="E421" t="s">
        <v>2809</v>
      </c>
      <c r="F421" s="1" t="s">
        <v>217</v>
      </c>
      <c r="G421" t="s">
        <v>218</v>
      </c>
      <c r="H421" t="s">
        <v>53</v>
      </c>
      <c r="I421" s="1" t="s">
        <v>2810</v>
      </c>
      <c r="J421" s="1" t="s">
        <v>2811</v>
      </c>
      <c r="K421" t="s">
        <v>2812</v>
      </c>
      <c r="L421" t="s">
        <v>2813</v>
      </c>
      <c r="M421" t="s">
        <v>27</v>
      </c>
      <c r="N421" t="s">
        <v>114</v>
      </c>
      <c r="O421" t="s">
        <v>35</v>
      </c>
      <c r="P421" t="s">
        <v>29</v>
      </c>
      <c r="Q421">
        <v>0</v>
      </c>
    </row>
    <row r="422" spans="1:17" x14ac:dyDescent="0.25">
      <c r="A422">
        <v>421</v>
      </c>
      <c r="B422" t="s">
        <v>2814</v>
      </c>
      <c r="C422" s="2">
        <v>25153</v>
      </c>
      <c r="D422">
        <v>58</v>
      </c>
      <c r="E422" t="s">
        <v>2815</v>
      </c>
      <c r="F422" s="1" t="s">
        <v>266</v>
      </c>
      <c r="G422" t="s">
        <v>267</v>
      </c>
      <c r="H422" t="s">
        <v>65</v>
      </c>
      <c r="I422" s="1" t="s">
        <v>2816</v>
      </c>
      <c r="J422" s="1" t="s">
        <v>2817</v>
      </c>
      <c r="K422" t="s">
        <v>2818</v>
      </c>
      <c r="L422" t="s">
        <v>2819</v>
      </c>
      <c r="M422" t="s">
        <v>27</v>
      </c>
      <c r="N422" t="s">
        <v>44</v>
      </c>
      <c r="O422" t="s">
        <v>59</v>
      </c>
      <c r="P422" t="s">
        <v>29</v>
      </c>
      <c r="Q422">
        <v>0</v>
      </c>
    </row>
    <row r="423" spans="1:17" x14ac:dyDescent="0.25">
      <c r="A423">
        <v>422</v>
      </c>
      <c r="B423" t="s">
        <v>2820</v>
      </c>
      <c r="C423" s="2">
        <v>34430</v>
      </c>
      <c r="D423">
        <v>32</v>
      </c>
      <c r="E423" t="s">
        <v>2821</v>
      </c>
      <c r="F423" s="1" t="s">
        <v>284</v>
      </c>
      <c r="G423" t="s">
        <v>285</v>
      </c>
      <c r="H423" t="s">
        <v>104</v>
      </c>
      <c r="I423" s="1" t="s">
        <v>2822</v>
      </c>
      <c r="J423" s="1" t="s">
        <v>2823</v>
      </c>
      <c r="K423" t="s">
        <v>2824</v>
      </c>
      <c r="L423" t="s">
        <v>2825</v>
      </c>
      <c r="M423" t="s">
        <v>27</v>
      </c>
      <c r="N423" t="s">
        <v>28</v>
      </c>
      <c r="O423" t="s">
        <v>35</v>
      </c>
      <c r="P423" t="s">
        <v>23</v>
      </c>
      <c r="Q423">
        <v>1</v>
      </c>
    </row>
    <row r="424" spans="1:17" x14ac:dyDescent="0.25">
      <c r="A424">
        <v>423</v>
      </c>
      <c r="B424" t="s">
        <v>2826</v>
      </c>
      <c r="C424" s="2">
        <v>39799</v>
      </c>
      <c r="D424">
        <v>18</v>
      </c>
      <c r="E424" t="s">
        <v>2827</v>
      </c>
      <c r="F424" s="1" t="s">
        <v>155</v>
      </c>
      <c r="G424" t="s">
        <v>156</v>
      </c>
      <c r="H424" t="s">
        <v>126</v>
      </c>
      <c r="I424" s="1" t="s">
        <v>2828</v>
      </c>
      <c r="J424" s="1" t="s">
        <v>2829</v>
      </c>
      <c r="K424" t="s">
        <v>2830</v>
      </c>
      <c r="L424" t="s">
        <v>2831</v>
      </c>
      <c r="M424" t="s">
        <v>27</v>
      </c>
      <c r="N424" t="s">
        <v>88</v>
      </c>
      <c r="O424" t="s">
        <v>40</v>
      </c>
      <c r="P424" t="s">
        <v>23</v>
      </c>
      <c r="Q424">
        <v>1</v>
      </c>
    </row>
    <row r="425" spans="1:17" x14ac:dyDescent="0.25">
      <c r="A425">
        <v>424</v>
      </c>
      <c r="B425" t="s">
        <v>2832</v>
      </c>
      <c r="C425" s="2">
        <v>32848</v>
      </c>
      <c r="D425">
        <v>37</v>
      </c>
      <c r="E425" t="s">
        <v>2833</v>
      </c>
      <c r="F425" s="1" t="s">
        <v>153</v>
      </c>
      <c r="G425" t="s">
        <v>154</v>
      </c>
      <c r="H425" t="s">
        <v>104</v>
      </c>
      <c r="I425" s="1" t="s">
        <v>2834</v>
      </c>
      <c r="J425" s="1" t="s">
        <v>2835</v>
      </c>
      <c r="K425" t="s">
        <v>2836</v>
      </c>
      <c r="L425" t="s">
        <v>2837</v>
      </c>
      <c r="M425" t="s">
        <v>68</v>
      </c>
      <c r="N425" t="s">
        <v>34</v>
      </c>
      <c r="O425" t="s">
        <v>50</v>
      </c>
      <c r="P425" t="s">
        <v>29</v>
      </c>
      <c r="Q425">
        <v>0</v>
      </c>
    </row>
    <row r="426" spans="1:17" x14ac:dyDescent="0.25">
      <c r="A426">
        <v>425</v>
      </c>
      <c r="B426" t="s">
        <v>2838</v>
      </c>
      <c r="C426" s="2">
        <v>26687</v>
      </c>
      <c r="D426">
        <v>53</v>
      </c>
      <c r="E426" t="s">
        <v>2839</v>
      </c>
      <c r="F426" s="1" t="s">
        <v>230</v>
      </c>
      <c r="G426" t="s">
        <v>231</v>
      </c>
      <c r="H426" t="s">
        <v>62</v>
      </c>
      <c r="I426" s="1" t="s">
        <v>2840</v>
      </c>
      <c r="J426" s="1" t="s">
        <v>2841</v>
      </c>
      <c r="K426" t="s">
        <v>2842</v>
      </c>
      <c r="L426" t="s">
        <v>2843</v>
      </c>
      <c r="M426" t="s">
        <v>27</v>
      </c>
      <c r="N426" t="s">
        <v>193</v>
      </c>
      <c r="O426" t="s">
        <v>22</v>
      </c>
      <c r="P426" t="s">
        <v>29</v>
      </c>
      <c r="Q426">
        <v>0</v>
      </c>
    </row>
    <row r="427" spans="1:17" x14ac:dyDescent="0.25">
      <c r="A427">
        <v>426</v>
      </c>
      <c r="B427" t="s">
        <v>2844</v>
      </c>
      <c r="C427" s="2">
        <v>32975</v>
      </c>
      <c r="D427">
        <v>36</v>
      </c>
      <c r="E427" t="s">
        <v>2845</v>
      </c>
      <c r="F427" s="1" t="s">
        <v>204</v>
      </c>
      <c r="G427" t="s">
        <v>205</v>
      </c>
      <c r="H427" t="s">
        <v>26</v>
      </c>
      <c r="I427" s="1" t="s">
        <v>2846</v>
      </c>
      <c r="J427" s="1" t="s">
        <v>2847</v>
      </c>
      <c r="K427" t="s">
        <v>2848</v>
      </c>
      <c r="L427" t="s">
        <v>2849</v>
      </c>
      <c r="M427" t="s">
        <v>27</v>
      </c>
      <c r="N427" t="s">
        <v>150</v>
      </c>
      <c r="O427" t="s">
        <v>22</v>
      </c>
      <c r="P427" t="s">
        <v>23</v>
      </c>
      <c r="Q427">
        <v>1</v>
      </c>
    </row>
    <row r="428" spans="1:17" x14ac:dyDescent="0.25">
      <c r="A428">
        <v>427</v>
      </c>
      <c r="B428" t="s">
        <v>2850</v>
      </c>
      <c r="C428" s="2">
        <v>30630</v>
      </c>
      <c r="D428">
        <v>43</v>
      </c>
      <c r="E428" t="s">
        <v>2851</v>
      </c>
      <c r="F428" s="1" t="s">
        <v>153</v>
      </c>
      <c r="G428" t="s">
        <v>154</v>
      </c>
      <c r="H428" t="s">
        <v>104</v>
      </c>
      <c r="I428" s="1" t="s">
        <v>2852</v>
      </c>
      <c r="J428" s="1" t="s">
        <v>2853</v>
      </c>
      <c r="K428" t="s">
        <v>2854</v>
      </c>
      <c r="L428" t="s">
        <v>2855</v>
      </c>
      <c r="M428" t="s">
        <v>27</v>
      </c>
      <c r="N428" t="s">
        <v>114</v>
      </c>
      <c r="O428" t="s">
        <v>40</v>
      </c>
      <c r="P428" t="s">
        <v>29</v>
      </c>
      <c r="Q428">
        <v>0</v>
      </c>
    </row>
    <row r="429" spans="1:17" x14ac:dyDescent="0.25">
      <c r="A429">
        <v>428</v>
      </c>
      <c r="B429" t="s">
        <v>2856</v>
      </c>
      <c r="C429" s="2">
        <v>37784</v>
      </c>
      <c r="D429">
        <v>23</v>
      </c>
      <c r="E429" t="s">
        <v>2857</v>
      </c>
      <c r="F429" s="1" t="s">
        <v>200</v>
      </c>
      <c r="G429" t="s">
        <v>201</v>
      </c>
      <c r="H429" t="s">
        <v>169</v>
      </c>
      <c r="I429" s="1" t="s">
        <v>2858</v>
      </c>
      <c r="J429" s="1" t="s">
        <v>2859</v>
      </c>
      <c r="K429" t="s">
        <v>2860</v>
      </c>
      <c r="L429" t="s">
        <v>2861</v>
      </c>
      <c r="M429" t="s">
        <v>27</v>
      </c>
      <c r="N429" t="s">
        <v>82</v>
      </c>
      <c r="O429" t="s">
        <v>59</v>
      </c>
      <c r="P429" t="s">
        <v>29</v>
      </c>
      <c r="Q429">
        <v>0</v>
      </c>
    </row>
    <row r="430" spans="1:17" x14ac:dyDescent="0.25">
      <c r="A430">
        <v>429</v>
      </c>
      <c r="B430" t="s">
        <v>2862</v>
      </c>
      <c r="C430" s="2">
        <v>23464</v>
      </c>
      <c r="D430">
        <v>62</v>
      </c>
      <c r="E430" t="s">
        <v>2863</v>
      </c>
      <c r="F430" s="1" t="s">
        <v>151</v>
      </c>
      <c r="G430" t="s">
        <v>152</v>
      </c>
      <c r="H430" t="s">
        <v>81</v>
      </c>
      <c r="I430" s="1" t="s">
        <v>2864</v>
      </c>
      <c r="J430" s="1" t="s">
        <v>2865</v>
      </c>
      <c r="K430" t="s">
        <v>2866</v>
      </c>
      <c r="L430" t="s">
        <v>2867</v>
      </c>
      <c r="M430" t="s">
        <v>27</v>
      </c>
      <c r="N430" t="s">
        <v>193</v>
      </c>
      <c r="O430" t="s">
        <v>50</v>
      </c>
      <c r="P430" t="s">
        <v>29</v>
      </c>
      <c r="Q430">
        <v>0</v>
      </c>
    </row>
    <row r="431" spans="1:17" x14ac:dyDescent="0.25">
      <c r="A431">
        <v>430</v>
      </c>
      <c r="B431" t="s">
        <v>2868</v>
      </c>
      <c r="C431" s="2">
        <v>39161</v>
      </c>
      <c r="D431">
        <v>19</v>
      </c>
      <c r="E431" t="s">
        <v>2869</v>
      </c>
      <c r="F431" s="1" t="s">
        <v>181</v>
      </c>
      <c r="G431" t="s">
        <v>182</v>
      </c>
      <c r="H431" t="s">
        <v>38</v>
      </c>
      <c r="I431" s="1" t="s">
        <v>2870</v>
      </c>
      <c r="J431" s="1" t="s">
        <v>2871</v>
      </c>
      <c r="K431" t="s">
        <v>2872</v>
      </c>
      <c r="L431" t="s">
        <v>2873</v>
      </c>
      <c r="M431" t="s">
        <v>33</v>
      </c>
      <c r="N431" t="s">
        <v>212</v>
      </c>
      <c r="O431" t="s">
        <v>40</v>
      </c>
      <c r="P431" t="s">
        <v>23</v>
      </c>
      <c r="Q431">
        <v>15</v>
      </c>
    </row>
    <row r="432" spans="1:17" x14ac:dyDescent="0.25">
      <c r="A432">
        <v>431</v>
      </c>
      <c r="B432" t="s">
        <v>2874</v>
      </c>
      <c r="C432" s="2">
        <v>28141</v>
      </c>
      <c r="D432">
        <v>49</v>
      </c>
      <c r="E432" t="s">
        <v>2875</v>
      </c>
      <c r="F432" s="1" t="s">
        <v>262</v>
      </c>
      <c r="G432" t="s">
        <v>263</v>
      </c>
      <c r="H432" t="s">
        <v>19</v>
      </c>
      <c r="I432" s="1" t="s">
        <v>2876</v>
      </c>
      <c r="J432" s="1" t="s">
        <v>2877</v>
      </c>
      <c r="K432" t="s">
        <v>2878</v>
      </c>
      <c r="L432" t="s">
        <v>2879</v>
      </c>
      <c r="M432" t="s">
        <v>48</v>
      </c>
      <c r="N432" t="s">
        <v>39</v>
      </c>
      <c r="O432" t="s">
        <v>22</v>
      </c>
      <c r="P432" t="s">
        <v>29</v>
      </c>
      <c r="Q432">
        <v>0</v>
      </c>
    </row>
    <row r="433" spans="1:17" x14ac:dyDescent="0.25">
      <c r="A433">
        <v>432</v>
      </c>
      <c r="B433" t="s">
        <v>2880</v>
      </c>
      <c r="C433" s="2">
        <v>23478</v>
      </c>
      <c r="D433">
        <v>62</v>
      </c>
      <c r="E433" t="s">
        <v>2881</v>
      </c>
      <c r="F433" s="1" t="s">
        <v>161</v>
      </c>
      <c r="G433" t="s">
        <v>162</v>
      </c>
      <c r="H433" t="s">
        <v>53</v>
      </c>
      <c r="I433" s="1" t="s">
        <v>2882</v>
      </c>
      <c r="J433" s="1" t="s">
        <v>2883</v>
      </c>
      <c r="K433" t="s">
        <v>2884</v>
      </c>
      <c r="L433" t="s">
        <v>2885</v>
      </c>
      <c r="M433" t="s">
        <v>48</v>
      </c>
      <c r="N433" t="s">
        <v>34</v>
      </c>
      <c r="O433" t="s">
        <v>59</v>
      </c>
      <c r="P433" t="s">
        <v>23</v>
      </c>
      <c r="Q433">
        <v>3</v>
      </c>
    </row>
    <row r="434" spans="1:17" x14ac:dyDescent="0.25">
      <c r="A434">
        <v>433</v>
      </c>
      <c r="B434" t="s">
        <v>2886</v>
      </c>
      <c r="C434" s="2">
        <v>35855</v>
      </c>
      <c r="D434">
        <v>28</v>
      </c>
      <c r="E434" t="s">
        <v>2887</v>
      </c>
      <c r="F434" s="1" t="s">
        <v>36</v>
      </c>
      <c r="G434" t="s">
        <v>37</v>
      </c>
      <c r="H434" t="s">
        <v>38</v>
      </c>
      <c r="I434" s="1" t="s">
        <v>2888</v>
      </c>
      <c r="J434" s="1" t="s">
        <v>2889</v>
      </c>
      <c r="K434" t="s">
        <v>2890</v>
      </c>
      <c r="L434" t="s">
        <v>2891</v>
      </c>
      <c r="M434" t="s">
        <v>27</v>
      </c>
      <c r="N434" t="s">
        <v>67</v>
      </c>
      <c r="O434" t="s">
        <v>22</v>
      </c>
      <c r="P434" t="s">
        <v>29</v>
      </c>
      <c r="Q434">
        <v>0</v>
      </c>
    </row>
    <row r="435" spans="1:17" x14ac:dyDescent="0.25">
      <c r="A435">
        <v>434</v>
      </c>
      <c r="B435" t="s">
        <v>2892</v>
      </c>
      <c r="C435" s="2">
        <v>30644</v>
      </c>
      <c r="D435">
        <v>43</v>
      </c>
      <c r="E435" t="s">
        <v>2893</v>
      </c>
      <c r="F435" s="1" t="s">
        <v>217</v>
      </c>
      <c r="G435" t="s">
        <v>218</v>
      </c>
      <c r="H435" t="s">
        <v>53</v>
      </c>
      <c r="I435" s="1" t="s">
        <v>2894</v>
      </c>
      <c r="J435" s="1" t="s">
        <v>2895</v>
      </c>
      <c r="K435" t="s">
        <v>2896</v>
      </c>
      <c r="L435" t="s">
        <v>2897</v>
      </c>
      <c r="M435" t="s">
        <v>33</v>
      </c>
      <c r="N435" t="s">
        <v>88</v>
      </c>
      <c r="O435" t="s">
        <v>22</v>
      </c>
      <c r="P435" t="s">
        <v>23</v>
      </c>
      <c r="Q435">
        <v>3</v>
      </c>
    </row>
    <row r="436" spans="1:17" x14ac:dyDescent="0.25">
      <c r="A436">
        <v>435</v>
      </c>
      <c r="B436" t="s">
        <v>2898</v>
      </c>
      <c r="C436" s="2">
        <v>29415</v>
      </c>
      <c r="D436">
        <v>46</v>
      </c>
      <c r="E436" t="s">
        <v>2899</v>
      </c>
      <c r="F436" s="1" t="s">
        <v>258</v>
      </c>
      <c r="G436" t="s">
        <v>259</v>
      </c>
      <c r="H436" t="s">
        <v>257</v>
      </c>
      <c r="I436" s="1" t="s">
        <v>2900</v>
      </c>
      <c r="J436" s="1" t="s">
        <v>2901</v>
      </c>
      <c r="K436" t="s">
        <v>2902</v>
      </c>
      <c r="L436" t="s">
        <v>2903</v>
      </c>
      <c r="M436" t="s">
        <v>27</v>
      </c>
      <c r="N436" t="s">
        <v>106</v>
      </c>
      <c r="O436" t="s">
        <v>50</v>
      </c>
      <c r="P436" t="s">
        <v>23</v>
      </c>
      <c r="Q436">
        <v>5</v>
      </c>
    </row>
    <row r="437" spans="1:17" x14ac:dyDescent="0.25">
      <c r="A437">
        <v>436</v>
      </c>
      <c r="B437" t="s">
        <v>2904</v>
      </c>
      <c r="C437" s="2">
        <v>27355</v>
      </c>
      <c r="D437">
        <v>52</v>
      </c>
      <c r="E437" t="s">
        <v>2905</v>
      </c>
      <c r="F437" s="1" t="s">
        <v>204</v>
      </c>
      <c r="G437" t="s">
        <v>205</v>
      </c>
      <c r="H437" t="s">
        <v>26</v>
      </c>
      <c r="I437" s="1" t="s">
        <v>2906</v>
      </c>
      <c r="J437" s="1" t="s">
        <v>2907</v>
      </c>
      <c r="K437" t="s">
        <v>2908</v>
      </c>
      <c r="L437" t="s">
        <v>2909</v>
      </c>
      <c r="M437" t="s">
        <v>27</v>
      </c>
      <c r="N437" t="s">
        <v>78</v>
      </c>
      <c r="O437" t="s">
        <v>22</v>
      </c>
      <c r="P437" t="s">
        <v>23</v>
      </c>
      <c r="Q437">
        <v>3</v>
      </c>
    </row>
    <row r="438" spans="1:17" x14ac:dyDescent="0.25">
      <c r="A438">
        <v>437</v>
      </c>
      <c r="B438" t="s">
        <v>2910</v>
      </c>
      <c r="C438" s="2">
        <v>34401</v>
      </c>
      <c r="D438">
        <v>32</v>
      </c>
      <c r="E438" t="s">
        <v>2911</v>
      </c>
      <c r="F438" s="1" t="s">
        <v>100</v>
      </c>
      <c r="G438" t="s">
        <v>101</v>
      </c>
      <c r="H438" t="s">
        <v>26</v>
      </c>
      <c r="I438" s="1" t="s">
        <v>2912</v>
      </c>
      <c r="J438" s="1" t="s">
        <v>2913</v>
      </c>
      <c r="K438" t="s">
        <v>2914</v>
      </c>
      <c r="L438" t="s">
        <v>2915</v>
      </c>
      <c r="M438" t="s">
        <v>27</v>
      </c>
      <c r="N438" t="s">
        <v>21</v>
      </c>
      <c r="O438" t="s">
        <v>59</v>
      </c>
      <c r="P438" t="s">
        <v>23</v>
      </c>
      <c r="Q438">
        <v>1</v>
      </c>
    </row>
    <row r="439" spans="1:17" x14ac:dyDescent="0.25">
      <c r="A439">
        <v>438</v>
      </c>
      <c r="B439" t="s">
        <v>2916</v>
      </c>
      <c r="C439" s="2">
        <v>25716</v>
      </c>
      <c r="D439">
        <v>56</v>
      </c>
      <c r="E439" t="s">
        <v>2917</v>
      </c>
      <c r="F439" s="1" t="s">
        <v>237</v>
      </c>
      <c r="G439" t="s">
        <v>238</v>
      </c>
      <c r="H439" t="s">
        <v>19</v>
      </c>
      <c r="I439" s="1" t="s">
        <v>2918</v>
      </c>
      <c r="J439" s="1" t="s">
        <v>2919</v>
      </c>
      <c r="K439" t="s">
        <v>2920</v>
      </c>
      <c r="L439" t="s">
        <v>2921</v>
      </c>
      <c r="M439" t="s">
        <v>27</v>
      </c>
      <c r="N439" t="s">
        <v>67</v>
      </c>
      <c r="O439" t="s">
        <v>35</v>
      </c>
      <c r="P439" t="s">
        <v>23</v>
      </c>
      <c r="Q439">
        <v>1</v>
      </c>
    </row>
    <row r="440" spans="1:17" x14ac:dyDescent="0.25">
      <c r="A440">
        <v>439</v>
      </c>
      <c r="B440" t="s">
        <v>2922</v>
      </c>
      <c r="C440" s="2">
        <v>29304</v>
      </c>
      <c r="D440">
        <v>46</v>
      </c>
      <c r="E440" t="s">
        <v>2923</v>
      </c>
      <c r="F440" s="1" t="s">
        <v>194</v>
      </c>
      <c r="G440" t="s">
        <v>195</v>
      </c>
      <c r="H440" t="s">
        <v>38</v>
      </c>
      <c r="I440" s="1" t="s">
        <v>2924</v>
      </c>
      <c r="J440" s="1" t="s">
        <v>2925</v>
      </c>
      <c r="K440" t="s">
        <v>2926</v>
      </c>
      <c r="L440" t="s">
        <v>2927</v>
      </c>
      <c r="M440" t="s">
        <v>27</v>
      </c>
      <c r="N440" t="s">
        <v>193</v>
      </c>
      <c r="O440" t="s">
        <v>35</v>
      </c>
      <c r="P440" t="s">
        <v>29</v>
      </c>
      <c r="Q440">
        <v>0</v>
      </c>
    </row>
    <row r="441" spans="1:17" x14ac:dyDescent="0.25">
      <c r="A441">
        <v>440</v>
      </c>
      <c r="B441" t="s">
        <v>2928</v>
      </c>
      <c r="C441" s="2">
        <v>29778</v>
      </c>
      <c r="D441">
        <v>45</v>
      </c>
      <c r="E441" t="s">
        <v>2929</v>
      </c>
      <c r="F441" s="1" t="s">
        <v>286</v>
      </c>
      <c r="G441" t="s">
        <v>287</v>
      </c>
      <c r="H441" t="s">
        <v>32</v>
      </c>
      <c r="I441" s="1" t="s">
        <v>2930</v>
      </c>
      <c r="J441" s="1" t="s">
        <v>2931</v>
      </c>
      <c r="K441" t="s">
        <v>2932</v>
      </c>
      <c r="L441" t="s">
        <v>2933</v>
      </c>
      <c r="M441" t="s">
        <v>33</v>
      </c>
      <c r="N441" t="s">
        <v>106</v>
      </c>
      <c r="O441" t="s">
        <v>22</v>
      </c>
      <c r="P441" t="s">
        <v>23</v>
      </c>
      <c r="Q441">
        <v>3</v>
      </c>
    </row>
    <row r="442" spans="1:17" x14ac:dyDescent="0.25">
      <c r="A442">
        <v>441</v>
      </c>
      <c r="B442" t="s">
        <v>2934</v>
      </c>
      <c r="C442" s="2">
        <v>38498</v>
      </c>
      <c r="D442">
        <v>21</v>
      </c>
      <c r="E442" t="s">
        <v>2935</v>
      </c>
      <c r="F442" s="1" t="s">
        <v>151</v>
      </c>
      <c r="G442" t="s">
        <v>152</v>
      </c>
      <c r="H442" t="s">
        <v>81</v>
      </c>
      <c r="I442" s="1" t="s">
        <v>2936</v>
      </c>
      <c r="J442" s="1" t="s">
        <v>2937</v>
      </c>
      <c r="K442" t="s">
        <v>2938</v>
      </c>
      <c r="L442" t="s">
        <v>2939</v>
      </c>
      <c r="M442" t="s">
        <v>27</v>
      </c>
      <c r="N442" t="s">
        <v>49</v>
      </c>
      <c r="O442" t="s">
        <v>22</v>
      </c>
      <c r="P442" t="s">
        <v>23</v>
      </c>
      <c r="Q442">
        <v>1</v>
      </c>
    </row>
    <row r="443" spans="1:17" x14ac:dyDescent="0.25">
      <c r="A443">
        <v>442</v>
      </c>
      <c r="B443" t="s">
        <v>2940</v>
      </c>
      <c r="C443" s="2">
        <v>27903</v>
      </c>
      <c r="D443">
        <v>50</v>
      </c>
      <c r="E443" t="s">
        <v>2941</v>
      </c>
      <c r="F443" s="1" t="s">
        <v>133</v>
      </c>
      <c r="G443" t="s">
        <v>134</v>
      </c>
      <c r="H443" t="s">
        <v>135</v>
      </c>
      <c r="I443" s="1" t="s">
        <v>2942</v>
      </c>
      <c r="J443" s="1" t="s">
        <v>2943</v>
      </c>
      <c r="K443" t="s">
        <v>2944</v>
      </c>
      <c r="L443" t="s">
        <v>2945</v>
      </c>
      <c r="M443" t="s">
        <v>48</v>
      </c>
      <c r="N443" t="s">
        <v>28</v>
      </c>
      <c r="O443" t="s">
        <v>40</v>
      </c>
      <c r="P443" t="s">
        <v>23</v>
      </c>
      <c r="Q443">
        <v>4</v>
      </c>
    </row>
    <row r="444" spans="1:17" x14ac:dyDescent="0.25">
      <c r="A444">
        <v>443</v>
      </c>
      <c r="B444" t="s">
        <v>2946</v>
      </c>
      <c r="C444" s="2">
        <v>31026</v>
      </c>
      <c r="D444">
        <v>42</v>
      </c>
      <c r="E444" t="s">
        <v>2947</v>
      </c>
      <c r="F444" s="1" t="s">
        <v>276</v>
      </c>
      <c r="G444" t="s">
        <v>277</v>
      </c>
      <c r="H444" t="s">
        <v>38</v>
      </c>
      <c r="I444" s="1" t="s">
        <v>2948</v>
      </c>
      <c r="J444" s="1" t="s">
        <v>2949</v>
      </c>
      <c r="K444" t="s">
        <v>2950</v>
      </c>
      <c r="L444" t="s">
        <v>2951</v>
      </c>
      <c r="M444" t="s">
        <v>33</v>
      </c>
      <c r="N444" t="s">
        <v>44</v>
      </c>
      <c r="O444" t="s">
        <v>35</v>
      </c>
      <c r="P444" t="s">
        <v>29</v>
      </c>
      <c r="Q444">
        <v>0</v>
      </c>
    </row>
    <row r="445" spans="1:17" x14ac:dyDescent="0.25">
      <c r="A445">
        <v>444</v>
      </c>
      <c r="B445" t="s">
        <v>2952</v>
      </c>
      <c r="C445" s="2">
        <v>24567</v>
      </c>
      <c r="D445">
        <v>59</v>
      </c>
      <c r="E445" t="s">
        <v>2953</v>
      </c>
      <c r="F445" s="1" t="s">
        <v>69</v>
      </c>
      <c r="G445" t="s">
        <v>70</v>
      </c>
      <c r="H445" t="s">
        <v>71</v>
      </c>
      <c r="I445" s="1" t="s">
        <v>2954</v>
      </c>
      <c r="J445" s="1" t="s">
        <v>2955</v>
      </c>
      <c r="K445" t="s">
        <v>2956</v>
      </c>
      <c r="L445" t="s">
        <v>2957</v>
      </c>
      <c r="M445" t="s">
        <v>27</v>
      </c>
      <c r="N445" t="s">
        <v>44</v>
      </c>
      <c r="O445" t="s">
        <v>22</v>
      </c>
      <c r="P445" t="s">
        <v>23</v>
      </c>
      <c r="Q445">
        <v>6</v>
      </c>
    </row>
    <row r="446" spans="1:17" x14ac:dyDescent="0.25">
      <c r="A446">
        <v>445</v>
      </c>
      <c r="B446" t="s">
        <v>2958</v>
      </c>
      <c r="C446" s="2">
        <v>23157</v>
      </c>
      <c r="D446">
        <v>63</v>
      </c>
      <c r="E446" t="s">
        <v>2959</v>
      </c>
      <c r="F446" s="1" t="s">
        <v>241</v>
      </c>
      <c r="G446" t="s">
        <v>242</v>
      </c>
      <c r="H446" t="s">
        <v>81</v>
      </c>
      <c r="I446" s="1" t="s">
        <v>2960</v>
      </c>
      <c r="J446" s="1" t="s">
        <v>2961</v>
      </c>
      <c r="K446" t="s">
        <v>2962</v>
      </c>
      <c r="L446" t="s">
        <v>2963</v>
      </c>
      <c r="M446" t="s">
        <v>48</v>
      </c>
      <c r="N446" t="s">
        <v>44</v>
      </c>
      <c r="O446" t="s">
        <v>50</v>
      </c>
      <c r="P446" t="s">
        <v>23</v>
      </c>
      <c r="Q446">
        <v>6</v>
      </c>
    </row>
    <row r="447" spans="1:17" x14ac:dyDescent="0.25">
      <c r="A447">
        <v>446</v>
      </c>
      <c r="B447" t="s">
        <v>2964</v>
      </c>
      <c r="C447" s="2">
        <v>24839</v>
      </c>
      <c r="D447">
        <v>58</v>
      </c>
      <c r="E447" t="s">
        <v>2965</v>
      </c>
      <c r="F447" s="1" t="s">
        <v>117</v>
      </c>
      <c r="G447" t="s">
        <v>118</v>
      </c>
      <c r="H447" t="s">
        <v>119</v>
      </c>
      <c r="I447" s="1" t="s">
        <v>2966</v>
      </c>
      <c r="J447" s="1" t="s">
        <v>2967</v>
      </c>
      <c r="K447" t="s">
        <v>2968</v>
      </c>
      <c r="L447" t="s">
        <v>2969</v>
      </c>
      <c r="M447" t="s">
        <v>27</v>
      </c>
      <c r="N447" t="s">
        <v>99</v>
      </c>
      <c r="O447" t="s">
        <v>59</v>
      </c>
      <c r="P447" t="s">
        <v>29</v>
      </c>
      <c r="Q447">
        <v>0</v>
      </c>
    </row>
    <row r="448" spans="1:17" x14ac:dyDescent="0.25">
      <c r="A448">
        <v>447</v>
      </c>
      <c r="B448" t="s">
        <v>2970</v>
      </c>
      <c r="C448" s="2">
        <v>38101</v>
      </c>
      <c r="D448">
        <v>22</v>
      </c>
      <c r="E448" t="s">
        <v>2971</v>
      </c>
      <c r="F448" s="1" t="s">
        <v>142</v>
      </c>
      <c r="G448" t="s">
        <v>143</v>
      </c>
      <c r="H448" t="s">
        <v>19</v>
      </c>
      <c r="I448" s="1" t="s">
        <v>2972</v>
      </c>
      <c r="J448" s="1" t="s">
        <v>2973</v>
      </c>
      <c r="K448" t="s">
        <v>2974</v>
      </c>
      <c r="L448" t="s">
        <v>2975</v>
      </c>
      <c r="M448" t="s">
        <v>68</v>
      </c>
      <c r="N448" t="s">
        <v>193</v>
      </c>
      <c r="O448" t="s">
        <v>22</v>
      </c>
      <c r="P448" t="s">
        <v>23</v>
      </c>
      <c r="Q448">
        <v>2</v>
      </c>
    </row>
    <row r="449" spans="1:17" x14ac:dyDescent="0.25">
      <c r="A449">
        <v>448</v>
      </c>
      <c r="B449" t="s">
        <v>2976</v>
      </c>
      <c r="C449" s="2">
        <v>23294</v>
      </c>
      <c r="D449">
        <v>63</v>
      </c>
      <c r="E449" t="s">
        <v>2977</v>
      </c>
      <c r="F449" s="1" t="s">
        <v>290</v>
      </c>
      <c r="G449" t="s">
        <v>291</v>
      </c>
      <c r="H449" t="s">
        <v>249</v>
      </c>
      <c r="I449" s="1" t="s">
        <v>2978</v>
      </c>
      <c r="J449" s="1" t="s">
        <v>2979</v>
      </c>
      <c r="K449" t="s">
        <v>2980</v>
      </c>
      <c r="L449" t="s">
        <v>2981</v>
      </c>
      <c r="M449" t="s">
        <v>33</v>
      </c>
      <c r="N449" t="s">
        <v>106</v>
      </c>
      <c r="O449" t="s">
        <v>22</v>
      </c>
      <c r="P449" t="s">
        <v>29</v>
      </c>
      <c r="Q449">
        <v>0</v>
      </c>
    </row>
    <row r="450" spans="1:17" x14ac:dyDescent="0.25">
      <c r="A450">
        <v>449</v>
      </c>
      <c r="B450" t="s">
        <v>2982</v>
      </c>
      <c r="C450" s="2">
        <v>33311</v>
      </c>
      <c r="D450">
        <v>35</v>
      </c>
      <c r="E450" t="s">
        <v>2983</v>
      </c>
      <c r="F450" s="1" t="s">
        <v>142</v>
      </c>
      <c r="G450" t="s">
        <v>143</v>
      </c>
      <c r="H450" t="s">
        <v>19</v>
      </c>
      <c r="I450" s="1" t="s">
        <v>2984</v>
      </c>
      <c r="J450" s="1" t="s">
        <v>2985</v>
      </c>
      <c r="K450" t="s">
        <v>2986</v>
      </c>
      <c r="L450" t="s">
        <v>2987</v>
      </c>
      <c r="M450" t="s">
        <v>68</v>
      </c>
      <c r="N450" t="s">
        <v>67</v>
      </c>
      <c r="O450" t="s">
        <v>22</v>
      </c>
      <c r="P450" t="s">
        <v>23</v>
      </c>
      <c r="Q450">
        <v>3</v>
      </c>
    </row>
    <row r="451" spans="1:17" x14ac:dyDescent="0.25">
      <c r="A451">
        <v>450</v>
      </c>
      <c r="B451" t="s">
        <v>2988</v>
      </c>
      <c r="C451" s="2">
        <v>27215</v>
      </c>
      <c r="D451">
        <v>52</v>
      </c>
      <c r="E451" t="s">
        <v>2989</v>
      </c>
      <c r="F451" s="1" t="s">
        <v>41</v>
      </c>
      <c r="G451" t="s">
        <v>42</v>
      </c>
      <c r="H451" t="s">
        <v>43</v>
      </c>
      <c r="I451" s="1" t="s">
        <v>2990</v>
      </c>
      <c r="J451" s="1" t="s">
        <v>2991</v>
      </c>
      <c r="K451" t="s">
        <v>2992</v>
      </c>
      <c r="L451" t="s">
        <v>2993</v>
      </c>
      <c r="M451" t="s">
        <v>48</v>
      </c>
      <c r="N451" t="s">
        <v>82</v>
      </c>
      <c r="O451" t="s">
        <v>35</v>
      </c>
      <c r="P451" t="s">
        <v>29</v>
      </c>
      <c r="Q451">
        <v>0</v>
      </c>
    </row>
    <row r="452" spans="1:17" x14ac:dyDescent="0.25">
      <c r="A452">
        <v>451</v>
      </c>
      <c r="B452" t="s">
        <v>2994</v>
      </c>
      <c r="C452" s="2">
        <v>27774</v>
      </c>
      <c r="D452">
        <v>50</v>
      </c>
      <c r="E452" t="s">
        <v>2995</v>
      </c>
      <c r="F452" s="1" t="s">
        <v>127</v>
      </c>
      <c r="G452" t="s">
        <v>128</v>
      </c>
      <c r="H452" t="s">
        <v>96</v>
      </c>
      <c r="I452" s="1" t="s">
        <v>2996</v>
      </c>
      <c r="J452" s="1" t="s">
        <v>2997</v>
      </c>
      <c r="K452" t="s">
        <v>2998</v>
      </c>
      <c r="L452" t="s">
        <v>2999</v>
      </c>
      <c r="M452" t="s">
        <v>48</v>
      </c>
      <c r="N452" t="s">
        <v>44</v>
      </c>
      <c r="O452" t="s">
        <v>59</v>
      </c>
      <c r="P452" t="s">
        <v>29</v>
      </c>
      <c r="Q452">
        <v>0</v>
      </c>
    </row>
    <row r="453" spans="1:17" x14ac:dyDescent="0.25">
      <c r="A453">
        <v>452</v>
      </c>
      <c r="B453" t="s">
        <v>3000</v>
      </c>
      <c r="C453" s="2">
        <v>24307</v>
      </c>
      <c r="D453">
        <v>60</v>
      </c>
      <c r="E453" t="s">
        <v>3001</v>
      </c>
      <c r="F453" s="1" t="s">
        <v>115</v>
      </c>
      <c r="G453" t="s">
        <v>116</v>
      </c>
      <c r="H453" t="s">
        <v>43</v>
      </c>
      <c r="I453" s="1" t="s">
        <v>3002</v>
      </c>
      <c r="J453" s="1" t="s">
        <v>3003</v>
      </c>
      <c r="K453" t="s">
        <v>3004</v>
      </c>
      <c r="L453" t="s">
        <v>3005</v>
      </c>
      <c r="M453" t="s">
        <v>48</v>
      </c>
      <c r="N453" t="s">
        <v>150</v>
      </c>
      <c r="O453" t="s">
        <v>59</v>
      </c>
      <c r="P453" t="s">
        <v>23</v>
      </c>
      <c r="Q453">
        <v>7</v>
      </c>
    </row>
    <row r="454" spans="1:17" x14ac:dyDescent="0.25">
      <c r="A454">
        <v>453</v>
      </c>
      <c r="B454" t="s">
        <v>3006</v>
      </c>
      <c r="C454" s="2">
        <v>26682</v>
      </c>
      <c r="D454">
        <v>53</v>
      </c>
      <c r="E454" t="s">
        <v>3007</v>
      </c>
      <c r="F454" s="1" t="s">
        <v>92</v>
      </c>
      <c r="G454" t="s">
        <v>93</v>
      </c>
      <c r="H454" t="s">
        <v>38</v>
      </c>
      <c r="I454" s="1" t="s">
        <v>3008</v>
      </c>
      <c r="J454" s="1" t="s">
        <v>3009</v>
      </c>
      <c r="K454" t="s">
        <v>3010</v>
      </c>
      <c r="L454" t="s">
        <v>3011</v>
      </c>
      <c r="M454" t="s">
        <v>27</v>
      </c>
      <c r="N454" t="s">
        <v>39</v>
      </c>
      <c r="O454" t="s">
        <v>35</v>
      </c>
      <c r="P454" t="s">
        <v>23</v>
      </c>
      <c r="Q454">
        <v>1</v>
      </c>
    </row>
    <row r="455" spans="1:17" x14ac:dyDescent="0.25">
      <c r="A455">
        <v>454</v>
      </c>
      <c r="B455" t="s">
        <v>3012</v>
      </c>
      <c r="C455" s="2">
        <v>31769</v>
      </c>
      <c r="D455">
        <v>40</v>
      </c>
      <c r="E455" t="s">
        <v>3013</v>
      </c>
      <c r="F455" s="1" t="s">
        <v>94</v>
      </c>
      <c r="G455" t="s">
        <v>95</v>
      </c>
      <c r="H455" t="s">
        <v>96</v>
      </c>
      <c r="I455" s="1" t="s">
        <v>3014</v>
      </c>
      <c r="J455" s="1" t="s">
        <v>3015</v>
      </c>
      <c r="K455" t="s">
        <v>3016</v>
      </c>
      <c r="L455" t="s">
        <v>3017</v>
      </c>
      <c r="M455" t="s">
        <v>48</v>
      </c>
      <c r="N455" t="s">
        <v>99</v>
      </c>
      <c r="O455" t="s">
        <v>35</v>
      </c>
      <c r="P455" t="s">
        <v>29</v>
      </c>
      <c r="Q455">
        <v>0</v>
      </c>
    </row>
    <row r="456" spans="1:17" x14ac:dyDescent="0.25">
      <c r="A456">
        <v>455</v>
      </c>
      <c r="B456" t="s">
        <v>3018</v>
      </c>
      <c r="C456" s="2">
        <v>39316</v>
      </c>
      <c r="D456">
        <v>19</v>
      </c>
      <c r="E456" t="s">
        <v>3019</v>
      </c>
      <c r="F456" s="1" t="s">
        <v>60</v>
      </c>
      <c r="G456" t="s">
        <v>61</v>
      </c>
      <c r="H456" t="s">
        <v>62</v>
      </c>
      <c r="I456" s="1" t="s">
        <v>3020</v>
      </c>
      <c r="J456" s="1" t="s">
        <v>3021</v>
      </c>
      <c r="K456" t="s">
        <v>3022</v>
      </c>
      <c r="L456" t="s">
        <v>3023</v>
      </c>
      <c r="M456" t="s">
        <v>27</v>
      </c>
      <c r="N456" t="s">
        <v>34</v>
      </c>
      <c r="O456" t="s">
        <v>59</v>
      </c>
      <c r="P456" t="s">
        <v>23</v>
      </c>
      <c r="Q456">
        <v>3</v>
      </c>
    </row>
    <row r="457" spans="1:17" x14ac:dyDescent="0.25">
      <c r="A457">
        <v>456</v>
      </c>
      <c r="B457" t="s">
        <v>3024</v>
      </c>
      <c r="C457" s="2">
        <v>34138</v>
      </c>
      <c r="D457">
        <v>33</v>
      </c>
      <c r="E457" t="s">
        <v>3025</v>
      </c>
      <c r="F457" s="1" t="s">
        <v>255</v>
      </c>
      <c r="G457" t="s">
        <v>256</v>
      </c>
      <c r="H457" t="s">
        <v>257</v>
      </c>
      <c r="I457" s="1" t="s">
        <v>3026</v>
      </c>
      <c r="J457" s="1" t="s">
        <v>3027</v>
      </c>
      <c r="K457" t="s">
        <v>3028</v>
      </c>
      <c r="L457" t="s">
        <v>3029</v>
      </c>
      <c r="M457" t="s">
        <v>48</v>
      </c>
      <c r="N457" t="s">
        <v>49</v>
      </c>
      <c r="O457" t="s">
        <v>35</v>
      </c>
      <c r="P457" t="s">
        <v>29</v>
      </c>
      <c r="Q457">
        <v>0</v>
      </c>
    </row>
    <row r="458" spans="1:17" x14ac:dyDescent="0.25">
      <c r="A458">
        <v>457</v>
      </c>
      <c r="B458" t="s">
        <v>3030</v>
      </c>
      <c r="C458" s="2">
        <v>28594</v>
      </c>
      <c r="D458">
        <v>48</v>
      </c>
      <c r="E458" t="s">
        <v>3031</v>
      </c>
      <c r="F458" s="1" t="s">
        <v>234</v>
      </c>
      <c r="G458" t="s">
        <v>235</v>
      </c>
      <c r="H458" t="s">
        <v>236</v>
      </c>
      <c r="I458" s="1" t="s">
        <v>3032</v>
      </c>
      <c r="J458" s="1" t="s">
        <v>3033</v>
      </c>
      <c r="K458" t="s">
        <v>3034</v>
      </c>
      <c r="L458" t="s">
        <v>3035</v>
      </c>
      <c r="M458" t="s">
        <v>33</v>
      </c>
      <c r="N458" t="s">
        <v>72</v>
      </c>
      <c r="O458" t="s">
        <v>50</v>
      </c>
      <c r="P458" t="s">
        <v>23</v>
      </c>
      <c r="Q458">
        <v>1</v>
      </c>
    </row>
    <row r="459" spans="1:17" x14ac:dyDescent="0.25">
      <c r="A459">
        <v>458</v>
      </c>
      <c r="B459" t="s">
        <v>3036</v>
      </c>
      <c r="C459" s="2">
        <v>36881</v>
      </c>
      <c r="D459">
        <v>26</v>
      </c>
      <c r="E459" t="s">
        <v>3037</v>
      </c>
      <c r="F459" s="1" t="s">
        <v>210</v>
      </c>
      <c r="G459" t="s">
        <v>211</v>
      </c>
      <c r="H459" t="s">
        <v>57</v>
      </c>
      <c r="I459" s="1" t="s">
        <v>3038</v>
      </c>
      <c r="J459" s="1" t="s">
        <v>3039</v>
      </c>
      <c r="K459" t="s">
        <v>3040</v>
      </c>
      <c r="L459" t="s">
        <v>3041</v>
      </c>
      <c r="M459" t="s">
        <v>48</v>
      </c>
      <c r="N459" t="s">
        <v>193</v>
      </c>
      <c r="O459" t="s">
        <v>59</v>
      </c>
      <c r="P459" t="s">
        <v>29</v>
      </c>
      <c r="Q459">
        <v>0</v>
      </c>
    </row>
    <row r="460" spans="1:17" x14ac:dyDescent="0.25">
      <c r="A460">
        <v>459</v>
      </c>
      <c r="B460" t="s">
        <v>3042</v>
      </c>
      <c r="C460" s="2">
        <v>28384</v>
      </c>
      <c r="D460">
        <v>49</v>
      </c>
      <c r="E460" t="s">
        <v>3043</v>
      </c>
      <c r="F460" s="1" t="s">
        <v>252</v>
      </c>
      <c r="G460" t="s">
        <v>253</v>
      </c>
      <c r="H460" t="s">
        <v>81</v>
      </c>
      <c r="I460" s="1" t="s">
        <v>3044</v>
      </c>
      <c r="J460" s="1" t="s">
        <v>3045</v>
      </c>
      <c r="K460" t="s">
        <v>3046</v>
      </c>
      <c r="L460" t="s">
        <v>3047</v>
      </c>
      <c r="M460" t="s">
        <v>27</v>
      </c>
      <c r="N460" t="s">
        <v>54</v>
      </c>
      <c r="O460" t="s">
        <v>40</v>
      </c>
      <c r="P460" t="s">
        <v>23</v>
      </c>
      <c r="Q460">
        <v>1</v>
      </c>
    </row>
    <row r="461" spans="1:17" x14ac:dyDescent="0.25">
      <c r="A461">
        <v>460</v>
      </c>
      <c r="B461" t="s">
        <v>3048</v>
      </c>
      <c r="C461" s="2">
        <v>28044</v>
      </c>
      <c r="D461">
        <v>50</v>
      </c>
      <c r="E461" t="s">
        <v>3049</v>
      </c>
      <c r="F461" s="1" t="s">
        <v>272</v>
      </c>
      <c r="G461" t="s">
        <v>273</v>
      </c>
      <c r="H461" t="s">
        <v>180</v>
      </c>
      <c r="I461" s="1" t="s">
        <v>3050</v>
      </c>
      <c r="J461" s="1" t="s">
        <v>3051</v>
      </c>
      <c r="K461" t="s">
        <v>3052</v>
      </c>
      <c r="L461" t="s">
        <v>3053</v>
      </c>
      <c r="M461" t="s">
        <v>27</v>
      </c>
      <c r="N461" t="s">
        <v>49</v>
      </c>
      <c r="O461" t="s">
        <v>59</v>
      </c>
      <c r="P461" t="s">
        <v>23</v>
      </c>
      <c r="Q461">
        <v>1</v>
      </c>
    </row>
    <row r="462" spans="1:17" x14ac:dyDescent="0.25">
      <c r="A462">
        <v>461</v>
      </c>
      <c r="B462" t="s">
        <v>3054</v>
      </c>
      <c r="C462" s="2">
        <v>26927</v>
      </c>
      <c r="D462">
        <v>53</v>
      </c>
      <c r="E462" t="s">
        <v>3055</v>
      </c>
      <c r="F462" s="1" t="s">
        <v>219</v>
      </c>
      <c r="G462" t="s">
        <v>220</v>
      </c>
      <c r="H462" t="s">
        <v>71</v>
      </c>
      <c r="I462" s="1" t="s">
        <v>3056</v>
      </c>
      <c r="J462" s="1" t="s">
        <v>3057</v>
      </c>
      <c r="K462" t="s">
        <v>3058</v>
      </c>
      <c r="L462" t="s">
        <v>3059</v>
      </c>
      <c r="M462" t="s">
        <v>27</v>
      </c>
      <c r="N462" t="s">
        <v>21</v>
      </c>
      <c r="O462" t="s">
        <v>50</v>
      </c>
      <c r="P462" t="s">
        <v>29</v>
      </c>
      <c r="Q462">
        <v>0</v>
      </c>
    </row>
    <row r="463" spans="1:17" x14ac:dyDescent="0.25">
      <c r="A463">
        <v>462</v>
      </c>
      <c r="B463" t="s">
        <v>3060</v>
      </c>
      <c r="C463" s="2">
        <v>29707</v>
      </c>
      <c r="D463">
        <v>45</v>
      </c>
      <c r="E463" t="s">
        <v>3061</v>
      </c>
      <c r="F463" s="1" t="s">
        <v>241</v>
      </c>
      <c r="G463" t="s">
        <v>242</v>
      </c>
      <c r="H463" t="s">
        <v>81</v>
      </c>
      <c r="I463" s="1" t="s">
        <v>3062</v>
      </c>
      <c r="J463" s="1" t="s">
        <v>3063</v>
      </c>
      <c r="K463" t="s">
        <v>3064</v>
      </c>
      <c r="L463" t="s">
        <v>3065</v>
      </c>
      <c r="M463" t="s">
        <v>27</v>
      </c>
      <c r="N463" t="s">
        <v>193</v>
      </c>
      <c r="O463" t="s">
        <v>35</v>
      </c>
      <c r="P463" t="s">
        <v>23</v>
      </c>
      <c r="Q463">
        <v>15</v>
      </c>
    </row>
    <row r="464" spans="1:17" x14ac:dyDescent="0.25">
      <c r="A464">
        <v>463</v>
      </c>
      <c r="B464" t="s">
        <v>3066</v>
      </c>
      <c r="C464" s="2">
        <v>32084</v>
      </c>
      <c r="D464">
        <v>39</v>
      </c>
      <c r="E464" t="s">
        <v>3067</v>
      </c>
      <c r="F464" s="1" t="s">
        <v>210</v>
      </c>
      <c r="G464" t="s">
        <v>211</v>
      </c>
      <c r="H464" t="s">
        <v>57</v>
      </c>
      <c r="I464" s="1" t="s">
        <v>3068</v>
      </c>
      <c r="J464" s="1" t="s">
        <v>3069</v>
      </c>
      <c r="K464" t="s">
        <v>3070</v>
      </c>
      <c r="L464" t="s">
        <v>3071</v>
      </c>
      <c r="M464" t="s">
        <v>48</v>
      </c>
      <c r="N464" t="s">
        <v>78</v>
      </c>
      <c r="O464" t="s">
        <v>22</v>
      </c>
      <c r="P464" t="s">
        <v>23</v>
      </c>
      <c r="Q464">
        <v>1</v>
      </c>
    </row>
    <row r="465" spans="1:17" x14ac:dyDescent="0.25">
      <c r="A465">
        <v>464</v>
      </c>
      <c r="B465" t="s">
        <v>3072</v>
      </c>
      <c r="C465" s="2">
        <v>32798</v>
      </c>
      <c r="D465">
        <v>37</v>
      </c>
      <c r="E465" t="s">
        <v>3073</v>
      </c>
      <c r="F465" s="1" t="s">
        <v>204</v>
      </c>
      <c r="G465" t="s">
        <v>205</v>
      </c>
      <c r="H465" t="s">
        <v>26</v>
      </c>
      <c r="I465" s="1" t="s">
        <v>3074</v>
      </c>
      <c r="J465" s="1" t="s">
        <v>3075</v>
      </c>
      <c r="K465" t="s">
        <v>3076</v>
      </c>
      <c r="L465" t="s">
        <v>3077</v>
      </c>
      <c r="M465" t="s">
        <v>33</v>
      </c>
      <c r="N465" t="s">
        <v>212</v>
      </c>
      <c r="O465" t="s">
        <v>35</v>
      </c>
      <c r="P465" t="s">
        <v>29</v>
      </c>
      <c r="Q465">
        <v>0</v>
      </c>
    </row>
    <row r="466" spans="1:17" x14ac:dyDescent="0.25">
      <c r="A466">
        <v>465</v>
      </c>
      <c r="B466" t="s">
        <v>3078</v>
      </c>
      <c r="C466" s="2">
        <v>36546</v>
      </c>
      <c r="D466">
        <v>26</v>
      </c>
      <c r="E466" t="s">
        <v>3079</v>
      </c>
      <c r="F466" s="1" t="s">
        <v>83</v>
      </c>
      <c r="G466" t="s">
        <v>84</v>
      </c>
      <c r="H466" t="s">
        <v>26</v>
      </c>
      <c r="I466" s="1" t="s">
        <v>3080</v>
      </c>
      <c r="J466" s="1" t="s">
        <v>3081</v>
      </c>
      <c r="K466" t="s">
        <v>3082</v>
      </c>
      <c r="L466" t="s">
        <v>3083</v>
      </c>
      <c r="M466" t="s">
        <v>27</v>
      </c>
      <c r="N466" t="s">
        <v>58</v>
      </c>
      <c r="O466" t="s">
        <v>59</v>
      </c>
      <c r="P466" t="s">
        <v>23</v>
      </c>
      <c r="Q466">
        <v>3</v>
      </c>
    </row>
    <row r="467" spans="1:17" x14ac:dyDescent="0.25">
      <c r="A467">
        <v>466</v>
      </c>
      <c r="B467" t="s">
        <v>3084</v>
      </c>
      <c r="C467" s="2">
        <v>22548</v>
      </c>
      <c r="D467">
        <v>65</v>
      </c>
      <c r="E467" t="s">
        <v>3085</v>
      </c>
      <c r="F467" s="1" t="s">
        <v>219</v>
      </c>
      <c r="G467" t="s">
        <v>220</v>
      </c>
      <c r="H467" t="s">
        <v>71</v>
      </c>
      <c r="I467" s="1" t="s">
        <v>3086</v>
      </c>
      <c r="J467" s="1" t="s">
        <v>3087</v>
      </c>
      <c r="K467" t="s">
        <v>3088</v>
      </c>
      <c r="L467" t="s">
        <v>3089</v>
      </c>
      <c r="M467" t="s">
        <v>68</v>
      </c>
      <c r="N467" t="s">
        <v>150</v>
      </c>
      <c r="O467" t="s">
        <v>59</v>
      </c>
      <c r="P467" t="s">
        <v>29</v>
      </c>
      <c r="Q467">
        <v>0</v>
      </c>
    </row>
    <row r="468" spans="1:17" x14ac:dyDescent="0.25">
      <c r="A468">
        <v>467</v>
      </c>
      <c r="B468" t="s">
        <v>3090</v>
      </c>
      <c r="C468" s="2">
        <v>38385</v>
      </c>
      <c r="D468">
        <v>21</v>
      </c>
      <c r="E468" t="s">
        <v>3091</v>
      </c>
      <c r="F468" s="1" t="s">
        <v>138</v>
      </c>
      <c r="G468" t="s">
        <v>139</v>
      </c>
      <c r="H468" t="s">
        <v>47</v>
      </c>
      <c r="I468" s="1" t="s">
        <v>3092</v>
      </c>
      <c r="J468" s="1" t="s">
        <v>3093</v>
      </c>
      <c r="K468" t="s">
        <v>3094</v>
      </c>
      <c r="L468" t="s">
        <v>3095</v>
      </c>
      <c r="M468" t="s">
        <v>33</v>
      </c>
      <c r="N468" t="s">
        <v>21</v>
      </c>
      <c r="O468" t="s">
        <v>40</v>
      </c>
      <c r="P468" t="s">
        <v>23</v>
      </c>
      <c r="Q468">
        <v>1</v>
      </c>
    </row>
    <row r="469" spans="1:17" x14ac:dyDescent="0.25">
      <c r="A469">
        <v>468</v>
      </c>
      <c r="B469" t="s">
        <v>3096</v>
      </c>
      <c r="C469" s="2">
        <v>31459</v>
      </c>
      <c r="D469">
        <v>40</v>
      </c>
      <c r="E469" t="s">
        <v>3097</v>
      </c>
      <c r="F469" s="1" t="s">
        <v>157</v>
      </c>
      <c r="G469" t="s">
        <v>158</v>
      </c>
      <c r="H469" t="s">
        <v>71</v>
      </c>
      <c r="I469" s="1" t="s">
        <v>3098</v>
      </c>
      <c r="J469" s="1" t="s">
        <v>3099</v>
      </c>
      <c r="K469" t="s">
        <v>3100</v>
      </c>
      <c r="L469" t="s">
        <v>3101</v>
      </c>
      <c r="M469" t="s">
        <v>27</v>
      </c>
      <c r="N469" t="s">
        <v>88</v>
      </c>
      <c r="O469" t="s">
        <v>22</v>
      </c>
      <c r="P469" t="s">
        <v>23</v>
      </c>
      <c r="Q469">
        <v>11</v>
      </c>
    </row>
    <row r="470" spans="1:17" x14ac:dyDescent="0.25">
      <c r="A470">
        <v>469</v>
      </c>
      <c r="B470" t="s">
        <v>3102</v>
      </c>
      <c r="C470" s="2">
        <v>25617</v>
      </c>
      <c r="D470">
        <v>56</v>
      </c>
      <c r="E470" t="s">
        <v>3103</v>
      </c>
      <c r="F470" s="1" t="s">
        <v>234</v>
      </c>
      <c r="G470" t="s">
        <v>235</v>
      </c>
      <c r="H470" t="s">
        <v>236</v>
      </c>
      <c r="I470" s="1" t="s">
        <v>3104</v>
      </c>
      <c r="J470" s="1" t="s">
        <v>3105</v>
      </c>
      <c r="K470" t="s">
        <v>3106</v>
      </c>
      <c r="L470" t="s">
        <v>3107</v>
      </c>
      <c r="M470" t="s">
        <v>27</v>
      </c>
      <c r="N470" t="s">
        <v>44</v>
      </c>
      <c r="O470" t="s">
        <v>35</v>
      </c>
      <c r="P470" t="s">
        <v>29</v>
      </c>
      <c r="Q470">
        <v>0</v>
      </c>
    </row>
    <row r="471" spans="1:17" x14ac:dyDescent="0.25">
      <c r="A471">
        <v>470</v>
      </c>
      <c r="B471" t="s">
        <v>3108</v>
      </c>
      <c r="C471" s="2">
        <v>27838</v>
      </c>
      <c r="D471">
        <v>50</v>
      </c>
      <c r="E471" t="s">
        <v>3109</v>
      </c>
      <c r="F471" s="1" t="s">
        <v>292</v>
      </c>
      <c r="G471" t="s">
        <v>293</v>
      </c>
      <c r="H471" t="s">
        <v>26</v>
      </c>
      <c r="I471" s="1" t="s">
        <v>3110</v>
      </c>
      <c r="J471" s="1" t="s">
        <v>3111</v>
      </c>
      <c r="K471" t="s">
        <v>3112</v>
      </c>
      <c r="L471" t="s">
        <v>3113</v>
      </c>
      <c r="M471" t="s">
        <v>48</v>
      </c>
      <c r="N471" t="s">
        <v>58</v>
      </c>
      <c r="O471" t="s">
        <v>40</v>
      </c>
      <c r="P471" t="s">
        <v>23</v>
      </c>
      <c r="Q471">
        <v>1</v>
      </c>
    </row>
    <row r="472" spans="1:17" x14ac:dyDescent="0.25">
      <c r="A472">
        <v>471</v>
      </c>
      <c r="B472" t="s">
        <v>3114</v>
      </c>
      <c r="C472" s="2">
        <v>23947</v>
      </c>
      <c r="D472">
        <v>61</v>
      </c>
      <c r="E472" t="s">
        <v>3115</v>
      </c>
      <c r="F472" s="1" t="s">
        <v>230</v>
      </c>
      <c r="G472" t="s">
        <v>231</v>
      </c>
      <c r="H472" t="s">
        <v>62</v>
      </c>
      <c r="I472" s="1" t="s">
        <v>3116</v>
      </c>
      <c r="J472" s="1" t="s">
        <v>3117</v>
      </c>
      <c r="K472" t="s">
        <v>3118</v>
      </c>
      <c r="L472" t="s">
        <v>3119</v>
      </c>
      <c r="M472" t="s">
        <v>48</v>
      </c>
      <c r="N472" t="s">
        <v>106</v>
      </c>
      <c r="O472" t="s">
        <v>40</v>
      </c>
      <c r="P472" t="s">
        <v>23</v>
      </c>
      <c r="Q472">
        <v>1</v>
      </c>
    </row>
    <row r="473" spans="1:17" x14ac:dyDescent="0.25">
      <c r="A473">
        <v>472</v>
      </c>
      <c r="B473" t="s">
        <v>3120</v>
      </c>
      <c r="C473" s="2">
        <v>23544</v>
      </c>
      <c r="D473">
        <v>62</v>
      </c>
      <c r="E473" t="s">
        <v>3121</v>
      </c>
      <c r="F473" s="1" t="s">
        <v>51</v>
      </c>
      <c r="G473" t="s">
        <v>52</v>
      </c>
      <c r="H473" t="s">
        <v>53</v>
      </c>
      <c r="I473" s="1" t="s">
        <v>3122</v>
      </c>
      <c r="J473" s="1" t="s">
        <v>3123</v>
      </c>
      <c r="K473" t="s">
        <v>3124</v>
      </c>
      <c r="L473" t="s">
        <v>3125</v>
      </c>
      <c r="M473" t="s">
        <v>33</v>
      </c>
      <c r="N473" t="s">
        <v>58</v>
      </c>
      <c r="O473" t="s">
        <v>50</v>
      </c>
      <c r="P473" t="s">
        <v>23</v>
      </c>
      <c r="Q473">
        <v>2</v>
      </c>
    </row>
    <row r="474" spans="1:17" x14ac:dyDescent="0.25">
      <c r="A474">
        <v>473</v>
      </c>
      <c r="B474" t="s">
        <v>3126</v>
      </c>
      <c r="C474" s="2">
        <v>37083</v>
      </c>
      <c r="D474">
        <v>25</v>
      </c>
      <c r="E474" t="s">
        <v>3127</v>
      </c>
      <c r="F474" s="1" t="s">
        <v>94</v>
      </c>
      <c r="G474" t="s">
        <v>95</v>
      </c>
      <c r="H474" t="s">
        <v>96</v>
      </c>
      <c r="I474" s="1" t="s">
        <v>3128</v>
      </c>
      <c r="J474" s="1" t="s">
        <v>3129</v>
      </c>
      <c r="K474" t="s">
        <v>3130</v>
      </c>
      <c r="L474" t="s">
        <v>3131</v>
      </c>
      <c r="M474" t="s">
        <v>27</v>
      </c>
      <c r="N474" t="s">
        <v>78</v>
      </c>
      <c r="O474" t="s">
        <v>59</v>
      </c>
      <c r="P474" t="s">
        <v>29</v>
      </c>
      <c r="Q474">
        <v>0</v>
      </c>
    </row>
    <row r="475" spans="1:17" x14ac:dyDescent="0.25">
      <c r="A475">
        <v>474</v>
      </c>
      <c r="B475" t="s">
        <v>3132</v>
      </c>
      <c r="C475" s="2">
        <v>35697</v>
      </c>
      <c r="D475">
        <v>29</v>
      </c>
      <c r="E475" t="s">
        <v>3133</v>
      </c>
      <c r="F475" s="1" t="s">
        <v>276</v>
      </c>
      <c r="G475" t="s">
        <v>277</v>
      </c>
      <c r="H475" t="s">
        <v>38</v>
      </c>
      <c r="I475" s="1" t="s">
        <v>3134</v>
      </c>
      <c r="J475" s="1" t="s">
        <v>3135</v>
      </c>
      <c r="K475" t="s">
        <v>3136</v>
      </c>
      <c r="L475" t="s">
        <v>3137</v>
      </c>
      <c r="M475" t="s">
        <v>33</v>
      </c>
      <c r="N475" t="s">
        <v>44</v>
      </c>
      <c r="O475" t="s">
        <v>59</v>
      </c>
      <c r="P475" t="s">
        <v>29</v>
      </c>
      <c r="Q475">
        <v>0</v>
      </c>
    </row>
    <row r="476" spans="1:17" x14ac:dyDescent="0.25">
      <c r="A476">
        <v>475</v>
      </c>
      <c r="B476" t="s">
        <v>3138</v>
      </c>
      <c r="C476" s="2">
        <v>24716</v>
      </c>
      <c r="D476">
        <v>59</v>
      </c>
      <c r="E476" t="s">
        <v>3139</v>
      </c>
      <c r="F476" s="1" t="s">
        <v>262</v>
      </c>
      <c r="G476" t="s">
        <v>263</v>
      </c>
      <c r="H476" t="s">
        <v>19</v>
      </c>
      <c r="I476" s="1" t="s">
        <v>3140</v>
      </c>
      <c r="J476" s="1" t="s">
        <v>3141</v>
      </c>
      <c r="K476" t="s">
        <v>3142</v>
      </c>
      <c r="L476" t="s">
        <v>3143</v>
      </c>
      <c r="M476" t="s">
        <v>33</v>
      </c>
      <c r="N476" t="s">
        <v>58</v>
      </c>
      <c r="O476" t="s">
        <v>35</v>
      </c>
      <c r="P476" t="s">
        <v>29</v>
      </c>
      <c r="Q476">
        <v>0</v>
      </c>
    </row>
    <row r="477" spans="1:17" x14ac:dyDescent="0.25">
      <c r="A477">
        <v>476</v>
      </c>
      <c r="B477" t="s">
        <v>3144</v>
      </c>
      <c r="C477" s="2">
        <v>32088</v>
      </c>
      <c r="D477">
        <v>39</v>
      </c>
      <c r="E477" t="s">
        <v>3145</v>
      </c>
      <c r="F477" s="1" t="s">
        <v>268</v>
      </c>
      <c r="G477" t="s">
        <v>269</v>
      </c>
      <c r="H477" t="s">
        <v>257</v>
      </c>
      <c r="I477" s="1" t="s">
        <v>3146</v>
      </c>
      <c r="J477" s="1" t="s">
        <v>3147</v>
      </c>
      <c r="K477" t="s">
        <v>3148</v>
      </c>
      <c r="L477" t="s">
        <v>3149</v>
      </c>
      <c r="M477" t="s">
        <v>48</v>
      </c>
      <c r="N477" t="s">
        <v>39</v>
      </c>
      <c r="O477" t="s">
        <v>35</v>
      </c>
      <c r="P477" t="s">
        <v>23</v>
      </c>
      <c r="Q477">
        <v>2</v>
      </c>
    </row>
    <row r="478" spans="1:17" x14ac:dyDescent="0.25">
      <c r="A478">
        <v>477</v>
      </c>
      <c r="B478" t="s">
        <v>3150</v>
      </c>
      <c r="C478" s="2">
        <v>33350</v>
      </c>
      <c r="D478">
        <v>35</v>
      </c>
      <c r="E478" t="s">
        <v>3151</v>
      </c>
      <c r="F478" s="1" t="s">
        <v>94</v>
      </c>
      <c r="G478" t="s">
        <v>95</v>
      </c>
      <c r="H478" t="s">
        <v>96</v>
      </c>
      <c r="I478" s="1" t="s">
        <v>3152</v>
      </c>
      <c r="J478" s="1" t="s">
        <v>3153</v>
      </c>
      <c r="K478" t="s">
        <v>3154</v>
      </c>
      <c r="L478" t="s">
        <v>3155</v>
      </c>
      <c r="M478" t="s">
        <v>27</v>
      </c>
      <c r="N478" t="s">
        <v>54</v>
      </c>
      <c r="O478" t="s">
        <v>59</v>
      </c>
      <c r="P478" t="s">
        <v>29</v>
      </c>
      <c r="Q478">
        <v>0</v>
      </c>
    </row>
    <row r="479" spans="1:17" x14ac:dyDescent="0.25">
      <c r="A479">
        <v>478</v>
      </c>
      <c r="B479" t="s">
        <v>3156</v>
      </c>
      <c r="C479" s="2">
        <v>30468</v>
      </c>
      <c r="D479">
        <v>43</v>
      </c>
      <c r="E479" t="s">
        <v>3157</v>
      </c>
      <c r="F479" s="1" t="s">
        <v>241</v>
      </c>
      <c r="G479" t="s">
        <v>242</v>
      </c>
      <c r="H479" t="s">
        <v>81</v>
      </c>
      <c r="I479" s="1" t="s">
        <v>3158</v>
      </c>
      <c r="J479" s="1" t="s">
        <v>3159</v>
      </c>
      <c r="K479" t="s">
        <v>3160</v>
      </c>
      <c r="L479" t="s">
        <v>3161</v>
      </c>
      <c r="M479" t="s">
        <v>48</v>
      </c>
      <c r="N479" t="s">
        <v>28</v>
      </c>
      <c r="O479" t="s">
        <v>35</v>
      </c>
      <c r="P479" t="s">
        <v>23</v>
      </c>
      <c r="Q479">
        <v>7</v>
      </c>
    </row>
    <row r="480" spans="1:17" x14ac:dyDescent="0.25">
      <c r="A480">
        <v>479</v>
      </c>
      <c r="B480" t="s">
        <v>3162</v>
      </c>
      <c r="C480" s="2">
        <v>37679</v>
      </c>
      <c r="D480">
        <v>23</v>
      </c>
      <c r="E480" t="s">
        <v>3163</v>
      </c>
      <c r="F480" s="1" t="s">
        <v>232</v>
      </c>
      <c r="G480" t="s">
        <v>233</v>
      </c>
      <c r="H480" t="s">
        <v>19</v>
      </c>
      <c r="I480" s="1" t="s">
        <v>3164</v>
      </c>
      <c r="J480" s="1" t="s">
        <v>3165</v>
      </c>
      <c r="K480" t="s">
        <v>3166</v>
      </c>
      <c r="L480" t="s">
        <v>3167</v>
      </c>
      <c r="M480" t="s">
        <v>48</v>
      </c>
      <c r="N480" t="s">
        <v>66</v>
      </c>
      <c r="O480" t="s">
        <v>59</v>
      </c>
      <c r="P480" t="s">
        <v>29</v>
      </c>
      <c r="Q480">
        <v>0</v>
      </c>
    </row>
    <row r="481" spans="1:17" x14ac:dyDescent="0.25">
      <c r="A481">
        <v>480</v>
      </c>
      <c r="B481" t="s">
        <v>3168</v>
      </c>
      <c r="C481" s="2">
        <v>36295</v>
      </c>
      <c r="D481">
        <v>27</v>
      </c>
      <c r="E481" t="s">
        <v>3169</v>
      </c>
      <c r="F481" s="1" t="s">
        <v>165</v>
      </c>
      <c r="G481" t="s">
        <v>166</v>
      </c>
      <c r="H481" t="s">
        <v>65</v>
      </c>
      <c r="I481" s="1" t="s">
        <v>3170</v>
      </c>
      <c r="J481" s="1" t="s">
        <v>3171</v>
      </c>
      <c r="K481" t="s">
        <v>3172</v>
      </c>
      <c r="L481" t="s">
        <v>3173</v>
      </c>
      <c r="M481" t="s">
        <v>33</v>
      </c>
      <c r="N481" t="s">
        <v>193</v>
      </c>
      <c r="O481" t="s">
        <v>50</v>
      </c>
      <c r="P481" t="s">
        <v>23</v>
      </c>
      <c r="Q481">
        <v>6</v>
      </c>
    </row>
    <row r="482" spans="1:17" x14ac:dyDescent="0.25">
      <c r="A482">
        <v>481</v>
      </c>
      <c r="B482" t="s">
        <v>3174</v>
      </c>
      <c r="C482" s="2">
        <v>29688</v>
      </c>
      <c r="D482">
        <v>45</v>
      </c>
      <c r="E482" t="s">
        <v>3175</v>
      </c>
      <c r="F482" s="1" t="s">
        <v>83</v>
      </c>
      <c r="G482" t="s">
        <v>84</v>
      </c>
      <c r="H482" t="s">
        <v>26</v>
      </c>
      <c r="I482" s="1" t="s">
        <v>3176</v>
      </c>
      <c r="J482" s="1" t="s">
        <v>3177</v>
      </c>
      <c r="K482" t="s">
        <v>3178</v>
      </c>
      <c r="L482" t="s">
        <v>3179</v>
      </c>
      <c r="M482" t="s">
        <v>27</v>
      </c>
      <c r="N482" t="s">
        <v>72</v>
      </c>
      <c r="O482" t="s">
        <v>59</v>
      </c>
      <c r="P482" t="s">
        <v>23</v>
      </c>
      <c r="Q482">
        <v>5</v>
      </c>
    </row>
    <row r="483" spans="1:17" x14ac:dyDescent="0.25">
      <c r="A483">
        <v>482</v>
      </c>
      <c r="B483" t="s">
        <v>3180</v>
      </c>
      <c r="C483" s="2">
        <v>27797</v>
      </c>
      <c r="D483">
        <v>50</v>
      </c>
      <c r="E483" t="s">
        <v>3181</v>
      </c>
      <c r="F483" s="1" t="s">
        <v>140</v>
      </c>
      <c r="G483" t="s">
        <v>141</v>
      </c>
      <c r="H483" t="s">
        <v>110</v>
      </c>
      <c r="I483" s="1" t="s">
        <v>3182</v>
      </c>
      <c r="J483" s="1" t="s">
        <v>3183</v>
      </c>
      <c r="K483" t="s">
        <v>3184</v>
      </c>
      <c r="L483" t="s">
        <v>3185</v>
      </c>
      <c r="M483" t="s">
        <v>27</v>
      </c>
      <c r="N483" t="s">
        <v>72</v>
      </c>
      <c r="O483" t="s">
        <v>50</v>
      </c>
      <c r="P483" t="s">
        <v>23</v>
      </c>
      <c r="Q483">
        <v>1</v>
      </c>
    </row>
    <row r="484" spans="1:17" x14ac:dyDescent="0.25">
      <c r="A484">
        <v>483</v>
      </c>
      <c r="B484" t="s">
        <v>3186</v>
      </c>
      <c r="C484" s="2">
        <v>36837</v>
      </c>
      <c r="D484">
        <v>26</v>
      </c>
      <c r="E484" t="s">
        <v>3187</v>
      </c>
      <c r="F484" s="1" t="s">
        <v>148</v>
      </c>
      <c r="G484" t="s">
        <v>149</v>
      </c>
      <c r="H484" t="s">
        <v>71</v>
      </c>
      <c r="I484" s="1" t="s">
        <v>3188</v>
      </c>
      <c r="J484" s="1" t="s">
        <v>3189</v>
      </c>
      <c r="K484" t="s">
        <v>3190</v>
      </c>
      <c r="L484" t="s">
        <v>3191</v>
      </c>
      <c r="M484" t="s">
        <v>48</v>
      </c>
      <c r="N484" t="s">
        <v>58</v>
      </c>
      <c r="O484" t="s">
        <v>22</v>
      </c>
      <c r="P484" t="s">
        <v>23</v>
      </c>
      <c r="Q484">
        <v>1</v>
      </c>
    </row>
    <row r="485" spans="1:17" x14ac:dyDescent="0.25">
      <c r="A485">
        <v>484</v>
      </c>
      <c r="B485" t="s">
        <v>3192</v>
      </c>
      <c r="C485" s="2">
        <v>39241</v>
      </c>
      <c r="D485">
        <v>19</v>
      </c>
      <c r="E485" t="s">
        <v>3193</v>
      </c>
      <c r="F485" s="1" t="s">
        <v>100</v>
      </c>
      <c r="G485" t="s">
        <v>101</v>
      </c>
      <c r="H485" t="s">
        <v>26</v>
      </c>
      <c r="I485" s="1" t="s">
        <v>3194</v>
      </c>
      <c r="J485" s="1" t="s">
        <v>3195</v>
      </c>
      <c r="K485" t="s">
        <v>3196</v>
      </c>
      <c r="L485" t="s">
        <v>3197</v>
      </c>
      <c r="M485" t="s">
        <v>27</v>
      </c>
      <c r="N485" t="s">
        <v>28</v>
      </c>
      <c r="O485" t="s">
        <v>35</v>
      </c>
      <c r="P485" t="s">
        <v>29</v>
      </c>
      <c r="Q485">
        <v>0</v>
      </c>
    </row>
    <row r="486" spans="1:17" x14ac:dyDescent="0.25">
      <c r="A486">
        <v>485</v>
      </c>
      <c r="B486" t="s">
        <v>3198</v>
      </c>
      <c r="C486" s="2">
        <v>34407</v>
      </c>
      <c r="D486">
        <v>32</v>
      </c>
      <c r="E486" t="s">
        <v>3199</v>
      </c>
      <c r="F486" s="1" t="s">
        <v>247</v>
      </c>
      <c r="G486" t="s">
        <v>248</v>
      </c>
      <c r="H486" t="s">
        <v>249</v>
      </c>
      <c r="I486" s="1" t="s">
        <v>3200</v>
      </c>
      <c r="J486" s="1" t="s">
        <v>3201</v>
      </c>
      <c r="K486" t="s">
        <v>3202</v>
      </c>
      <c r="L486" t="s">
        <v>3203</v>
      </c>
      <c r="M486" t="s">
        <v>48</v>
      </c>
      <c r="N486" t="s">
        <v>28</v>
      </c>
      <c r="O486" t="s">
        <v>50</v>
      </c>
      <c r="P486" t="s">
        <v>23</v>
      </c>
      <c r="Q486">
        <v>1</v>
      </c>
    </row>
    <row r="487" spans="1:17" x14ac:dyDescent="0.25">
      <c r="A487">
        <v>486</v>
      </c>
      <c r="B487" t="s">
        <v>3204</v>
      </c>
      <c r="C487" s="2">
        <v>27171</v>
      </c>
      <c r="D487">
        <v>52</v>
      </c>
      <c r="E487" t="s">
        <v>3205</v>
      </c>
      <c r="F487" s="1" t="s">
        <v>24</v>
      </c>
      <c r="G487" t="s">
        <v>25</v>
      </c>
      <c r="H487" t="s">
        <v>26</v>
      </c>
      <c r="I487" s="1" t="s">
        <v>3206</v>
      </c>
      <c r="J487" s="1" t="s">
        <v>3207</v>
      </c>
      <c r="K487" t="s">
        <v>3208</v>
      </c>
      <c r="L487" t="s">
        <v>3209</v>
      </c>
      <c r="M487" t="s">
        <v>27</v>
      </c>
      <c r="N487" t="s">
        <v>58</v>
      </c>
      <c r="O487" t="s">
        <v>22</v>
      </c>
      <c r="P487" t="s">
        <v>23</v>
      </c>
      <c r="Q487">
        <v>1</v>
      </c>
    </row>
    <row r="488" spans="1:17" x14ac:dyDescent="0.25">
      <c r="A488">
        <v>487</v>
      </c>
      <c r="B488" t="s">
        <v>3210</v>
      </c>
      <c r="C488" s="2">
        <v>26334</v>
      </c>
      <c r="D488">
        <v>54</v>
      </c>
      <c r="E488" t="s">
        <v>3211</v>
      </c>
      <c r="F488" s="1" t="s">
        <v>260</v>
      </c>
      <c r="G488" t="s">
        <v>261</v>
      </c>
      <c r="H488" t="s">
        <v>47</v>
      </c>
      <c r="I488" s="1" t="s">
        <v>3212</v>
      </c>
      <c r="J488" s="1" t="s">
        <v>3213</v>
      </c>
      <c r="K488" t="s">
        <v>3214</v>
      </c>
      <c r="L488" t="s">
        <v>3215</v>
      </c>
      <c r="M488" t="s">
        <v>33</v>
      </c>
      <c r="N488" t="s">
        <v>49</v>
      </c>
      <c r="O488" t="s">
        <v>50</v>
      </c>
      <c r="P488" t="s">
        <v>29</v>
      </c>
      <c r="Q488">
        <v>0</v>
      </c>
    </row>
    <row r="489" spans="1:17" x14ac:dyDescent="0.25">
      <c r="A489">
        <v>488</v>
      </c>
      <c r="B489" t="s">
        <v>3216</v>
      </c>
      <c r="C489" s="2">
        <v>28540</v>
      </c>
      <c r="D489">
        <v>48</v>
      </c>
      <c r="E489" t="s">
        <v>3217</v>
      </c>
      <c r="F489" s="1" t="s">
        <v>254</v>
      </c>
      <c r="G489" t="s">
        <v>105</v>
      </c>
      <c r="H489" t="s">
        <v>96</v>
      </c>
      <c r="I489" s="1" t="s">
        <v>3218</v>
      </c>
      <c r="J489" s="1" t="s">
        <v>3219</v>
      </c>
      <c r="K489" t="s">
        <v>3220</v>
      </c>
      <c r="L489" t="s">
        <v>3221</v>
      </c>
      <c r="M489" t="s">
        <v>48</v>
      </c>
      <c r="N489" t="s">
        <v>212</v>
      </c>
      <c r="O489" t="s">
        <v>40</v>
      </c>
      <c r="P489" t="s">
        <v>29</v>
      </c>
      <c r="Q489">
        <v>0</v>
      </c>
    </row>
    <row r="490" spans="1:17" x14ac:dyDescent="0.25">
      <c r="A490">
        <v>489</v>
      </c>
      <c r="B490" t="s">
        <v>3222</v>
      </c>
      <c r="C490" s="2">
        <v>35089</v>
      </c>
      <c r="D490">
        <v>30</v>
      </c>
      <c r="E490" t="s">
        <v>3223</v>
      </c>
      <c r="F490" s="1" t="s">
        <v>219</v>
      </c>
      <c r="G490" t="s">
        <v>220</v>
      </c>
      <c r="H490" t="s">
        <v>71</v>
      </c>
      <c r="I490" s="1" t="s">
        <v>3224</v>
      </c>
      <c r="J490" s="1" t="s">
        <v>3225</v>
      </c>
      <c r="K490" t="s">
        <v>3226</v>
      </c>
      <c r="L490" t="s">
        <v>3227</v>
      </c>
      <c r="M490" t="s">
        <v>48</v>
      </c>
      <c r="N490" t="s">
        <v>72</v>
      </c>
      <c r="O490" t="s">
        <v>50</v>
      </c>
      <c r="P490" t="s">
        <v>23</v>
      </c>
      <c r="Q490">
        <v>1</v>
      </c>
    </row>
    <row r="491" spans="1:17" x14ac:dyDescent="0.25">
      <c r="A491">
        <v>490</v>
      </c>
      <c r="B491" t="s">
        <v>3228</v>
      </c>
      <c r="C491" s="2">
        <v>26154</v>
      </c>
      <c r="D491">
        <v>55</v>
      </c>
      <c r="E491" t="s">
        <v>3229</v>
      </c>
      <c r="F491" s="1" t="s">
        <v>146</v>
      </c>
      <c r="G491" t="s">
        <v>147</v>
      </c>
      <c r="H491" t="s">
        <v>47</v>
      </c>
      <c r="I491" s="1" t="s">
        <v>3230</v>
      </c>
      <c r="J491" s="1" t="s">
        <v>3231</v>
      </c>
      <c r="K491" t="s">
        <v>3232</v>
      </c>
      <c r="L491" t="s">
        <v>3233</v>
      </c>
      <c r="M491" t="s">
        <v>33</v>
      </c>
      <c r="N491" t="s">
        <v>99</v>
      </c>
      <c r="O491" t="s">
        <v>59</v>
      </c>
      <c r="P491" t="s">
        <v>23</v>
      </c>
      <c r="Q491">
        <v>1</v>
      </c>
    </row>
    <row r="492" spans="1:17" x14ac:dyDescent="0.25">
      <c r="A492">
        <v>491</v>
      </c>
      <c r="B492" t="s">
        <v>3234</v>
      </c>
      <c r="C492" s="2">
        <v>35109</v>
      </c>
      <c r="D492">
        <v>30</v>
      </c>
      <c r="E492" t="s">
        <v>3235</v>
      </c>
      <c r="F492" s="1" t="s">
        <v>122</v>
      </c>
      <c r="G492" t="s">
        <v>123</v>
      </c>
      <c r="H492" t="s">
        <v>43</v>
      </c>
      <c r="I492" s="1" t="s">
        <v>3236</v>
      </c>
      <c r="J492" s="1" t="s">
        <v>3237</v>
      </c>
      <c r="K492" t="s">
        <v>3238</v>
      </c>
      <c r="L492" t="s">
        <v>3239</v>
      </c>
      <c r="M492" t="s">
        <v>48</v>
      </c>
      <c r="N492" t="s">
        <v>106</v>
      </c>
      <c r="O492" t="s">
        <v>40</v>
      </c>
      <c r="P492" t="s">
        <v>29</v>
      </c>
      <c r="Q492">
        <v>0</v>
      </c>
    </row>
    <row r="493" spans="1:17" x14ac:dyDescent="0.25">
      <c r="A493">
        <v>492</v>
      </c>
      <c r="B493" t="s">
        <v>3240</v>
      </c>
      <c r="C493" s="2">
        <v>26390</v>
      </c>
      <c r="D493">
        <v>54</v>
      </c>
      <c r="E493" t="s">
        <v>3241</v>
      </c>
      <c r="F493" s="1" t="s">
        <v>92</v>
      </c>
      <c r="G493" t="s">
        <v>93</v>
      </c>
      <c r="H493" t="s">
        <v>38</v>
      </c>
      <c r="I493" s="1" t="s">
        <v>3242</v>
      </c>
      <c r="J493" s="1" t="s">
        <v>3243</v>
      </c>
      <c r="K493" t="s">
        <v>3244</v>
      </c>
      <c r="L493" t="s">
        <v>3245</v>
      </c>
      <c r="M493" t="s">
        <v>27</v>
      </c>
      <c r="N493" t="s">
        <v>39</v>
      </c>
      <c r="O493" t="s">
        <v>22</v>
      </c>
      <c r="P493" t="s">
        <v>29</v>
      </c>
      <c r="Q493">
        <v>0</v>
      </c>
    </row>
    <row r="494" spans="1:17" x14ac:dyDescent="0.25">
      <c r="A494">
        <v>493</v>
      </c>
      <c r="B494" t="s">
        <v>3246</v>
      </c>
      <c r="C494" s="2">
        <v>37409</v>
      </c>
      <c r="D494">
        <v>24</v>
      </c>
      <c r="E494" t="s">
        <v>3247</v>
      </c>
      <c r="F494" s="1" t="s">
        <v>79</v>
      </c>
      <c r="G494" t="s">
        <v>80</v>
      </c>
      <c r="H494" t="s">
        <v>81</v>
      </c>
      <c r="I494" s="1" t="s">
        <v>3248</v>
      </c>
      <c r="J494" s="1" t="s">
        <v>3249</v>
      </c>
      <c r="K494" t="s">
        <v>3250</v>
      </c>
      <c r="L494" t="s">
        <v>3251</v>
      </c>
      <c r="M494" t="s">
        <v>27</v>
      </c>
      <c r="N494" t="s">
        <v>212</v>
      </c>
      <c r="O494" t="s">
        <v>40</v>
      </c>
      <c r="P494" t="s">
        <v>29</v>
      </c>
      <c r="Q494">
        <v>0</v>
      </c>
    </row>
    <row r="495" spans="1:17" x14ac:dyDescent="0.25">
      <c r="A495">
        <v>494</v>
      </c>
      <c r="B495" t="s">
        <v>3252</v>
      </c>
      <c r="C495" s="2">
        <v>28906</v>
      </c>
      <c r="D495">
        <v>47</v>
      </c>
      <c r="E495" t="s">
        <v>3253</v>
      </c>
      <c r="F495" s="1" t="s">
        <v>124</v>
      </c>
      <c r="G495" t="s">
        <v>125</v>
      </c>
      <c r="H495" t="s">
        <v>126</v>
      </c>
      <c r="I495" s="1" t="s">
        <v>3254</v>
      </c>
      <c r="J495" s="1" t="s">
        <v>3255</v>
      </c>
      <c r="K495" t="s">
        <v>3256</v>
      </c>
      <c r="L495" t="s">
        <v>3257</v>
      </c>
      <c r="M495" t="s">
        <v>27</v>
      </c>
      <c r="N495" t="s">
        <v>88</v>
      </c>
      <c r="O495" t="s">
        <v>59</v>
      </c>
      <c r="P495" t="s">
        <v>23</v>
      </c>
      <c r="Q495">
        <v>1</v>
      </c>
    </row>
    <row r="496" spans="1:17" x14ac:dyDescent="0.25">
      <c r="A496">
        <v>495</v>
      </c>
      <c r="B496" t="s">
        <v>3258</v>
      </c>
      <c r="C496" s="2">
        <v>37846</v>
      </c>
      <c r="D496">
        <v>23</v>
      </c>
      <c r="E496" t="s">
        <v>3259</v>
      </c>
      <c r="F496" s="1" t="s">
        <v>290</v>
      </c>
      <c r="G496" t="s">
        <v>291</v>
      </c>
      <c r="H496" t="s">
        <v>249</v>
      </c>
      <c r="I496" s="1" t="s">
        <v>3260</v>
      </c>
      <c r="J496" s="1" t="s">
        <v>3261</v>
      </c>
      <c r="K496" t="s">
        <v>3262</v>
      </c>
      <c r="L496" t="s">
        <v>3263</v>
      </c>
      <c r="M496" t="s">
        <v>27</v>
      </c>
      <c r="N496" t="s">
        <v>82</v>
      </c>
      <c r="O496" t="s">
        <v>40</v>
      </c>
      <c r="P496" t="s">
        <v>29</v>
      </c>
      <c r="Q496">
        <v>0</v>
      </c>
    </row>
    <row r="497" spans="1:17" x14ac:dyDescent="0.25">
      <c r="A497">
        <v>496</v>
      </c>
      <c r="B497" t="s">
        <v>3264</v>
      </c>
      <c r="C497" s="2">
        <v>34469</v>
      </c>
      <c r="D497">
        <v>32</v>
      </c>
      <c r="E497" t="s">
        <v>3265</v>
      </c>
      <c r="F497" s="1" t="s">
        <v>146</v>
      </c>
      <c r="G497" t="s">
        <v>147</v>
      </c>
      <c r="H497" t="s">
        <v>47</v>
      </c>
      <c r="I497" s="1" t="s">
        <v>3266</v>
      </c>
      <c r="J497" s="1" t="s">
        <v>3267</v>
      </c>
      <c r="K497" t="s">
        <v>3268</v>
      </c>
      <c r="L497" t="s">
        <v>3269</v>
      </c>
      <c r="M497" t="s">
        <v>27</v>
      </c>
      <c r="N497" t="s">
        <v>44</v>
      </c>
      <c r="O497" t="s">
        <v>22</v>
      </c>
      <c r="P497" t="s">
        <v>29</v>
      </c>
      <c r="Q497">
        <v>0</v>
      </c>
    </row>
    <row r="498" spans="1:17" x14ac:dyDescent="0.25">
      <c r="A498">
        <v>497</v>
      </c>
      <c r="B498" t="s">
        <v>3270</v>
      </c>
      <c r="C498" s="2">
        <v>34012</v>
      </c>
      <c r="D498">
        <v>33</v>
      </c>
      <c r="E498" t="s">
        <v>3271</v>
      </c>
      <c r="F498" s="1" t="s">
        <v>234</v>
      </c>
      <c r="G498" t="s">
        <v>235</v>
      </c>
      <c r="H498" t="s">
        <v>236</v>
      </c>
      <c r="I498" s="1" t="s">
        <v>3272</v>
      </c>
      <c r="J498" s="1" t="s">
        <v>3273</v>
      </c>
      <c r="K498" t="s">
        <v>3274</v>
      </c>
      <c r="L498" t="s">
        <v>3275</v>
      </c>
      <c r="M498" t="s">
        <v>48</v>
      </c>
      <c r="N498" t="s">
        <v>44</v>
      </c>
      <c r="O498" t="s">
        <v>22</v>
      </c>
      <c r="P498" t="s">
        <v>29</v>
      </c>
      <c r="Q498">
        <v>0</v>
      </c>
    </row>
    <row r="499" spans="1:17" x14ac:dyDescent="0.25">
      <c r="A499">
        <v>498</v>
      </c>
      <c r="B499" t="s">
        <v>3276</v>
      </c>
      <c r="C499" s="2">
        <v>28857</v>
      </c>
      <c r="D499">
        <v>47</v>
      </c>
      <c r="E499" t="s">
        <v>3277</v>
      </c>
      <c r="F499" s="1" t="s">
        <v>97</v>
      </c>
      <c r="G499" t="s">
        <v>98</v>
      </c>
      <c r="H499" t="s">
        <v>57</v>
      </c>
      <c r="I499" s="1" t="s">
        <v>3278</v>
      </c>
      <c r="J499" s="1" t="s">
        <v>3279</v>
      </c>
      <c r="K499" t="s">
        <v>3280</v>
      </c>
      <c r="L499" t="s">
        <v>3281</v>
      </c>
      <c r="M499" t="s">
        <v>48</v>
      </c>
      <c r="N499" t="s">
        <v>67</v>
      </c>
      <c r="O499" t="s">
        <v>59</v>
      </c>
      <c r="P499" t="s">
        <v>23</v>
      </c>
      <c r="Q499">
        <v>1</v>
      </c>
    </row>
    <row r="500" spans="1:17" x14ac:dyDescent="0.25">
      <c r="A500">
        <v>499</v>
      </c>
      <c r="B500" t="s">
        <v>3282</v>
      </c>
      <c r="C500" s="2">
        <v>35509</v>
      </c>
      <c r="D500">
        <v>29</v>
      </c>
      <c r="E500" t="s">
        <v>3283</v>
      </c>
      <c r="F500" s="1" t="s">
        <v>85</v>
      </c>
      <c r="G500" t="s">
        <v>86</v>
      </c>
      <c r="H500" t="s">
        <v>87</v>
      </c>
      <c r="I500" s="1" t="s">
        <v>3284</v>
      </c>
      <c r="J500" s="1" t="s">
        <v>3285</v>
      </c>
      <c r="K500" t="s">
        <v>3286</v>
      </c>
      <c r="L500" t="s">
        <v>3287</v>
      </c>
      <c r="M500" t="s">
        <v>27</v>
      </c>
      <c r="N500" t="s">
        <v>212</v>
      </c>
      <c r="O500" t="s">
        <v>22</v>
      </c>
      <c r="P500" t="s">
        <v>29</v>
      </c>
      <c r="Q500">
        <v>0</v>
      </c>
    </row>
    <row r="501" spans="1:17" x14ac:dyDescent="0.25">
      <c r="A501">
        <v>500</v>
      </c>
      <c r="B501" t="s">
        <v>3288</v>
      </c>
      <c r="C501" s="2">
        <v>23843</v>
      </c>
      <c r="D501">
        <v>61</v>
      </c>
      <c r="E501" t="s">
        <v>3289</v>
      </c>
      <c r="F501" s="1" t="s">
        <v>133</v>
      </c>
      <c r="G501" t="s">
        <v>134</v>
      </c>
      <c r="H501" t="s">
        <v>135</v>
      </c>
      <c r="I501" s="1" t="s">
        <v>3290</v>
      </c>
      <c r="J501" s="1" t="s">
        <v>3291</v>
      </c>
      <c r="K501" t="s">
        <v>3292</v>
      </c>
      <c r="L501" t="s">
        <v>3293</v>
      </c>
      <c r="M501" t="s">
        <v>27</v>
      </c>
      <c r="N501" t="s">
        <v>54</v>
      </c>
      <c r="O501" t="s">
        <v>40</v>
      </c>
      <c r="P501" t="s">
        <v>23</v>
      </c>
      <c r="Q501">
        <v>4</v>
      </c>
    </row>
    <row r="502" spans="1:17" x14ac:dyDescent="0.25">
      <c r="A502">
        <v>501</v>
      </c>
      <c r="B502" t="s">
        <v>3294</v>
      </c>
      <c r="C502" s="2">
        <v>37373</v>
      </c>
      <c r="D502">
        <v>24</v>
      </c>
      <c r="E502" t="s">
        <v>3295</v>
      </c>
      <c r="F502" s="1" t="s">
        <v>172</v>
      </c>
      <c r="G502" t="s">
        <v>173</v>
      </c>
      <c r="H502" t="s">
        <v>110</v>
      </c>
      <c r="I502" s="1" t="s">
        <v>3296</v>
      </c>
      <c r="J502" s="1" t="s">
        <v>3297</v>
      </c>
      <c r="K502" t="s">
        <v>3298</v>
      </c>
      <c r="L502" t="s">
        <v>3299</v>
      </c>
      <c r="M502" t="s">
        <v>27</v>
      </c>
      <c r="N502" t="s">
        <v>34</v>
      </c>
      <c r="O502" t="s">
        <v>50</v>
      </c>
      <c r="P502" t="s">
        <v>23</v>
      </c>
      <c r="Q502">
        <v>1</v>
      </c>
    </row>
    <row r="503" spans="1:17" x14ac:dyDescent="0.25">
      <c r="A503">
        <v>502</v>
      </c>
      <c r="B503" t="s">
        <v>3300</v>
      </c>
      <c r="C503" s="2">
        <v>39491</v>
      </c>
      <c r="D503">
        <v>18</v>
      </c>
      <c r="E503" t="s">
        <v>3301</v>
      </c>
      <c r="F503" s="1" t="s">
        <v>286</v>
      </c>
      <c r="G503" t="s">
        <v>287</v>
      </c>
      <c r="H503" t="s">
        <v>32</v>
      </c>
      <c r="I503" s="1" t="s">
        <v>3302</v>
      </c>
      <c r="J503" s="1" t="s">
        <v>3303</v>
      </c>
      <c r="K503" t="s">
        <v>3304</v>
      </c>
      <c r="L503" t="s">
        <v>3305</v>
      </c>
      <c r="M503" t="s">
        <v>27</v>
      </c>
      <c r="N503" t="s">
        <v>72</v>
      </c>
      <c r="O503" t="s">
        <v>59</v>
      </c>
      <c r="P503" t="s">
        <v>23</v>
      </c>
      <c r="Q503">
        <v>1</v>
      </c>
    </row>
    <row r="504" spans="1:17" x14ac:dyDescent="0.25">
      <c r="A504">
        <v>503</v>
      </c>
      <c r="B504" t="s">
        <v>3306</v>
      </c>
      <c r="C504" s="2">
        <v>35242</v>
      </c>
      <c r="D504">
        <v>30</v>
      </c>
      <c r="E504" t="s">
        <v>3307</v>
      </c>
      <c r="F504" s="1" t="s">
        <v>92</v>
      </c>
      <c r="G504" t="s">
        <v>93</v>
      </c>
      <c r="H504" t="s">
        <v>38</v>
      </c>
      <c r="I504" s="1" t="s">
        <v>3308</v>
      </c>
      <c r="J504" s="1" t="s">
        <v>3309</v>
      </c>
      <c r="K504" t="s">
        <v>3310</v>
      </c>
      <c r="L504" t="s">
        <v>3311</v>
      </c>
      <c r="M504" t="s">
        <v>48</v>
      </c>
      <c r="N504" t="s">
        <v>44</v>
      </c>
      <c r="O504" t="s">
        <v>50</v>
      </c>
      <c r="P504" t="s">
        <v>23</v>
      </c>
      <c r="Q504">
        <v>3</v>
      </c>
    </row>
    <row r="505" spans="1:17" x14ac:dyDescent="0.25">
      <c r="A505">
        <v>504</v>
      </c>
      <c r="B505" t="s">
        <v>3312</v>
      </c>
      <c r="C505" s="2">
        <v>34844</v>
      </c>
      <c r="D505">
        <v>31</v>
      </c>
      <c r="E505" t="s">
        <v>3313</v>
      </c>
      <c r="F505" s="1" t="s">
        <v>274</v>
      </c>
      <c r="G505" t="s">
        <v>275</v>
      </c>
      <c r="H505" t="s">
        <v>65</v>
      </c>
      <c r="I505" s="1" t="s">
        <v>3314</v>
      </c>
      <c r="J505" s="1" t="s">
        <v>3315</v>
      </c>
      <c r="K505" t="s">
        <v>3316</v>
      </c>
      <c r="L505" t="s">
        <v>3317</v>
      </c>
      <c r="M505" t="s">
        <v>33</v>
      </c>
      <c r="N505" t="s">
        <v>114</v>
      </c>
      <c r="O505" t="s">
        <v>35</v>
      </c>
      <c r="P505" t="s">
        <v>23</v>
      </c>
      <c r="Q505">
        <v>1</v>
      </c>
    </row>
    <row r="506" spans="1:17" x14ac:dyDescent="0.25">
      <c r="A506">
        <v>505</v>
      </c>
      <c r="B506" t="s">
        <v>3318</v>
      </c>
      <c r="C506" s="2">
        <v>30888</v>
      </c>
      <c r="D506">
        <v>42</v>
      </c>
      <c r="E506" t="s">
        <v>3319</v>
      </c>
      <c r="F506" s="1" t="s">
        <v>272</v>
      </c>
      <c r="G506" t="s">
        <v>273</v>
      </c>
      <c r="H506" t="s">
        <v>180</v>
      </c>
      <c r="I506" s="1" t="s">
        <v>3320</v>
      </c>
      <c r="J506" s="1" t="s">
        <v>3321</v>
      </c>
      <c r="K506" t="s">
        <v>3322</v>
      </c>
      <c r="L506" t="s">
        <v>3323</v>
      </c>
      <c r="M506" t="s">
        <v>48</v>
      </c>
      <c r="N506" t="s">
        <v>39</v>
      </c>
      <c r="O506" t="s">
        <v>59</v>
      </c>
      <c r="P506" t="s">
        <v>23</v>
      </c>
      <c r="Q506">
        <v>1</v>
      </c>
    </row>
    <row r="507" spans="1:17" x14ac:dyDescent="0.25">
      <c r="A507">
        <v>506</v>
      </c>
      <c r="B507" t="s">
        <v>3324</v>
      </c>
      <c r="C507" s="2">
        <v>26896</v>
      </c>
      <c r="D507">
        <v>53</v>
      </c>
      <c r="E507" t="s">
        <v>3325</v>
      </c>
      <c r="F507" s="1" t="s">
        <v>288</v>
      </c>
      <c r="G507" t="s">
        <v>289</v>
      </c>
      <c r="H507" t="s">
        <v>87</v>
      </c>
      <c r="I507" s="1" t="s">
        <v>3326</v>
      </c>
      <c r="J507" s="1" t="s">
        <v>3327</v>
      </c>
      <c r="K507" t="s">
        <v>3328</v>
      </c>
      <c r="L507" t="s">
        <v>3329</v>
      </c>
      <c r="M507" t="s">
        <v>27</v>
      </c>
      <c r="N507" t="s">
        <v>49</v>
      </c>
      <c r="O507" t="s">
        <v>22</v>
      </c>
      <c r="P507" t="s">
        <v>29</v>
      </c>
      <c r="Q507">
        <v>0</v>
      </c>
    </row>
    <row r="508" spans="1:17" x14ac:dyDescent="0.25">
      <c r="A508">
        <v>507</v>
      </c>
      <c r="B508" t="s">
        <v>3330</v>
      </c>
      <c r="C508" s="2">
        <v>27640</v>
      </c>
      <c r="D508">
        <v>51</v>
      </c>
      <c r="E508" t="s">
        <v>3331</v>
      </c>
      <c r="F508" s="1" t="s">
        <v>75</v>
      </c>
      <c r="G508" t="s">
        <v>76</v>
      </c>
      <c r="H508" t="s">
        <v>77</v>
      </c>
      <c r="I508" s="1" t="s">
        <v>3332</v>
      </c>
      <c r="J508" s="1" t="s">
        <v>3333</v>
      </c>
      <c r="K508" t="s">
        <v>3334</v>
      </c>
      <c r="L508" t="s">
        <v>3335</v>
      </c>
      <c r="M508" t="s">
        <v>48</v>
      </c>
      <c r="N508" t="s">
        <v>28</v>
      </c>
      <c r="O508" t="s">
        <v>40</v>
      </c>
      <c r="P508" t="s">
        <v>29</v>
      </c>
      <c r="Q508">
        <v>0</v>
      </c>
    </row>
    <row r="509" spans="1:17" x14ac:dyDescent="0.25">
      <c r="A509">
        <v>508</v>
      </c>
      <c r="B509" t="s">
        <v>3336</v>
      </c>
      <c r="C509" s="2">
        <v>37767</v>
      </c>
      <c r="D509">
        <v>23</v>
      </c>
      <c r="E509" t="s">
        <v>3337</v>
      </c>
      <c r="F509" s="1" t="s">
        <v>24</v>
      </c>
      <c r="G509" t="s">
        <v>25</v>
      </c>
      <c r="H509" t="s">
        <v>26</v>
      </c>
      <c r="I509" s="1" t="s">
        <v>3338</v>
      </c>
      <c r="J509" s="1" t="s">
        <v>3339</v>
      </c>
      <c r="K509" t="s">
        <v>3340</v>
      </c>
      <c r="L509" t="s">
        <v>3341</v>
      </c>
      <c r="M509" t="s">
        <v>27</v>
      </c>
      <c r="N509" t="s">
        <v>82</v>
      </c>
      <c r="O509" t="s">
        <v>35</v>
      </c>
      <c r="P509" t="s">
        <v>23</v>
      </c>
      <c r="Q509">
        <v>1</v>
      </c>
    </row>
    <row r="510" spans="1:17" x14ac:dyDescent="0.25">
      <c r="A510">
        <v>509</v>
      </c>
      <c r="B510" t="s">
        <v>3342</v>
      </c>
      <c r="C510" s="2">
        <v>28437</v>
      </c>
      <c r="D510">
        <v>49</v>
      </c>
      <c r="E510" t="s">
        <v>3343</v>
      </c>
      <c r="F510" s="1" t="s">
        <v>124</v>
      </c>
      <c r="G510" t="s">
        <v>125</v>
      </c>
      <c r="H510" t="s">
        <v>126</v>
      </c>
      <c r="I510" s="1" t="s">
        <v>3344</v>
      </c>
      <c r="J510" s="1" t="s">
        <v>3345</v>
      </c>
      <c r="K510" t="s">
        <v>3346</v>
      </c>
      <c r="L510" t="s">
        <v>3347</v>
      </c>
      <c r="M510" t="s">
        <v>48</v>
      </c>
      <c r="N510" t="s">
        <v>150</v>
      </c>
      <c r="O510" t="s">
        <v>40</v>
      </c>
      <c r="P510" t="s">
        <v>23</v>
      </c>
      <c r="Q510">
        <v>1</v>
      </c>
    </row>
    <row r="511" spans="1:17" x14ac:dyDescent="0.25">
      <c r="A511">
        <v>510</v>
      </c>
      <c r="B511" t="s">
        <v>3348</v>
      </c>
      <c r="C511" s="2">
        <v>23802</v>
      </c>
      <c r="D511">
        <v>61</v>
      </c>
      <c r="E511" t="s">
        <v>3349</v>
      </c>
      <c r="F511" s="1" t="s">
        <v>178</v>
      </c>
      <c r="G511" t="s">
        <v>179</v>
      </c>
      <c r="H511" t="s">
        <v>180</v>
      </c>
      <c r="I511" s="1" t="s">
        <v>3350</v>
      </c>
      <c r="J511" s="1" t="s">
        <v>3351</v>
      </c>
      <c r="K511" t="s">
        <v>3352</v>
      </c>
      <c r="L511" t="s">
        <v>3353</v>
      </c>
      <c r="M511" t="s">
        <v>33</v>
      </c>
      <c r="N511" t="s">
        <v>99</v>
      </c>
      <c r="O511" t="s">
        <v>22</v>
      </c>
      <c r="P511" t="s">
        <v>29</v>
      </c>
      <c r="Q511">
        <v>0</v>
      </c>
    </row>
    <row r="512" spans="1:17" x14ac:dyDescent="0.25">
      <c r="A512">
        <v>511</v>
      </c>
      <c r="B512" t="s">
        <v>3354</v>
      </c>
      <c r="C512" s="2">
        <v>27204</v>
      </c>
      <c r="D512">
        <v>52</v>
      </c>
      <c r="E512" t="s">
        <v>3355</v>
      </c>
      <c r="F512" s="1" t="s">
        <v>131</v>
      </c>
      <c r="G512" t="s">
        <v>132</v>
      </c>
      <c r="H512" t="s">
        <v>47</v>
      </c>
      <c r="I512" s="1" t="s">
        <v>3356</v>
      </c>
      <c r="J512" s="1" t="s">
        <v>3357</v>
      </c>
      <c r="K512" t="s">
        <v>3358</v>
      </c>
      <c r="L512" t="s">
        <v>3359</v>
      </c>
      <c r="M512" t="s">
        <v>48</v>
      </c>
      <c r="N512" t="s">
        <v>34</v>
      </c>
      <c r="O512" t="s">
        <v>59</v>
      </c>
      <c r="P512" t="s">
        <v>29</v>
      </c>
      <c r="Q512">
        <v>0</v>
      </c>
    </row>
    <row r="513" spans="1:17" x14ac:dyDescent="0.25">
      <c r="A513">
        <v>512</v>
      </c>
      <c r="B513" t="s">
        <v>3360</v>
      </c>
      <c r="C513" s="2">
        <v>39705</v>
      </c>
      <c r="D513">
        <v>18</v>
      </c>
      <c r="E513" t="s">
        <v>3361</v>
      </c>
      <c r="F513" s="1" t="s">
        <v>83</v>
      </c>
      <c r="G513" t="s">
        <v>84</v>
      </c>
      <c r="H513" t="s">
        <v>26</v>
      </c>
      <c r="I513" s="1" t="s">
        <v>3362</v>
      </c>
      <c r="J513" s="1" t="s">
        <v>3363</v>
      </c>
      <c r="K513" t="s">
        <v>3364</v>
      </c>
      <c r="L513" t="s">
        <v>3365</v>
      </c>
      <c r="M513" t="s">
        <v>27</v>
      </c>
      <c r="N513" t="s">
        <v>66</v>
      </c>
      <c r="O513" t="s">
        <v>35</v>
      </c>
      <c r="P513" t="s">
        <v>29</v>
      </c>
      <c r="Q513">
        <v>0</v>
      </c>
    </row>
    <row r="514" spans="1:17" x14ac:dyDescent="0.25">
      <c r="A514">
        <v>513</v>
      </c>
      <c r="B514" t="s">
        <v>3366</v>
      </c>
      <c r="C514" s="2">
        <v>24337</v>
      </c>
      <c r="D514">
        <v>60</v>
      </c>
      <c r="E514" t="s">
        <v>3367</v>
      </c>
      <c r="F514" s="1" t="s">
        <v>85</v>
      </c>
      <c r="G514" t="s">
        <v>86</v>
      </c>
      <c r="H514" t="s">
        <v>87</v>
      </c>
      <c r="I514" s="1" t="s">
        <v>3368</v>
      </c>
      <c r="J514" s="1" t="s">
        <v>3369</v>
      </c>
      <c r="K514" t="s">
        <v>3370</v>
      </c>
      <c r="L514" t="s">
        <v>3371</v>
      </c>
      <c r="M514" t="s">
        <v>48</v>
      </c>
      <c r="N514" t="s">
        <v>39</v>
      </c>
      <c r="O514" t="s">
        <v>22</v>
      </c>
      <c r="P514" t="s">
        <v>29</v>
      </c>
      <c r="Q514">
        <v>0</v>
      </c>
    </row>
    <row r="515" spans="1:17" x14ac:dyDescent="0.25">
      <c r="A515">
        <v>514</v>
      </c>
      <c r="B515" t="s">
        <v>3372</v>
      </c>
      <c r="C515" s="2">
        <v>26661</v>
      </c>
      <c r="D515">
        <v>54</v>
      </c>
      <c r="E515" t="s">
        <v>3373</v>
      </c>
      <c r="F515" s="1" t="s">
        <v>286</v>
      </c>
      <c r="G515" t="s">
        <v>287</v>
      </c>
      <c r="H515" t="s">
        <v>32</v>
      </c>
      <c r="I515" s="1" t="s">
        <v>3374</v>
      </c>
      <c r="J515" s="1" t="s">
        <v>3375</v>
      </c>
      <c r="K515" t="s">
        <v>3376</v>
      </c>
      <c r="L515" t="s">
        <v>3377</v>
      </c>
      <c r="M515" t="s">
        <v>27</v>
      </c>
      <c r="N515" t="s">
        <v>88</v>
      </c>
      <c r="O515" t="s">
        <v>59</v>
      </c>
      <c r="P515" t="s">
        <v>29</v>
      </c>
      <c r="Q515">
        <v>0</v>
      </c>
    </row>
    <row r="516" spans="1:17" x14ac:dyDescent="0.25">
      <c r="A516">
        <v>515</v>
      </c>
      <c r="B516" t="s">
        <v>3378</v>
      </c>
      <c r="C516" s="2">
        <v>39274</v>
      </c>
      <c r="D516">
        <v>19</v>
      </c>
      <c r="E516" t="s">
        <v>3379</v>
      </c>
      <c r="F516" s="1" t="s">
        <v>268</v>
      </c>
      <c r="G516" t="s">
        <v>269</v>
      </c>
      <c r="H516" t="s">
        <v>257</v>
      </c>
      <c r="I516" s="1" t="s">
        <v>3380</v>
      </c>
      <c r="J516" s="1" t="s">
        <v>3381</v>
      </c>
      <c r="K516" t="s">
        <v>3382</v>
      </c>
      <c r="L516" t="s">
        <v>3383</v>
      </c>
      <c r="M516" t="s">
        <v>48</v>
      </c>
      <c r="N516" t="s">
        <v>49</v>
      </c>
      <c r="O516" t="s">
        <v>35</v>
      </c>
      <c r="P516" t="s">
        <v>29</v>
      </c>
      <c r="Q516">
        <v>0</v>
      </c>
    </row>
    <row r="517" spans="1:17" x14ac:dyDescent="0.25">
      <c r="A517">
        <v>516</v>
      </c>
      <c r="B517" t="s">
        <v>3384</v>
      </c>
      <c r="C517" s="2">
        <v>30742</v>
      </c>
      <c r="D517">
        <v>42</v>
      </c>
      <c r="E517" t="s">
        <v>3385</v>
      </c>
      <c r="F517" s="1" t="s">
        <v>176</v>
      </c>
      <c r="G517" t="s">
        <v>177</v>
      </c>
      <c r="H517" t="s">
        <v>43</v>
      </c>
      <c r="I517" s="1" t="s">
        <v>3386</v>
      </c>
      <c r="J517" s="1" t="s">
        <v>3387</v>
      </c>
      <c r="K517" t="s">
        <v>3388</v>
      </c>
      <c r="L517" t="s">
        <v>3389</v>
      </c>
      <c r="M517" t="s">
        <v>48</v>
      </c>
      <c r="N517" t="s">
        <v>193</v>
      </c>
      <c r="O517" t="s">
        <v>59</v>
      </c>
      <c r="P517" t="s">
        <v>23</v>
      </c>
      <c r="Q517">
        <v>1</v>
      </c>
    </row>
    <row r="518" spans="1:17" x14ac:dyDescent="0.25">
      <c r="A518">
        <v>517</v>
      </c>
      <c r="B518" t="s">
        <v>3390</v>
      </c>
      <c r="C518" s="2">
        <v>31036</v>
      </c>
      <c r="D518">
        <v>42</v>
      </c>
      <c r="E518" t="s">
        <v>3391</v>
      </c>
      <c r="F518" s="1" t="s">
        <v>206</v>
      </c>
      <c r="G518" t="s">
        <v>207</v>
      </c>
      <c r="H518" t="s">
        <v>53</v>
      </c>
      <c r="I518" s="1" t="s">
        <v>3392</v>
      </c>
      <c r="J518" s="1" t="s">
        <v>3393</v>
      </c>
      <c r="K518" t="s">
        <v>3394</v>
      </c>
      <c r="L518" t="s">
        <v>3395</v>
      </c>
      <c r="M518" t="s">
        <v>27</v>
      </c>
      <c r="N518" t="s">
        <v>88</v>
      </c>
      <c r="O518" t="s">
        <v>50</v>
      </c>
      <c r="P518" t="s">
        <v>29</v>
      </c>
      <c r="Q518">
        <v>0</v>
      </c>
    </row>
    <row r="519" spans="1:17" x14ac:dyDescent="0.25">
      <c r="A519">
        <v>518</v>
      </c>
      <c r="B519" t="s">
        <v>3396</v>
      </c>
      <c r="C519" s="2">
        <v>22884</v>
      </c>
      <c r="D519">
        <v>64</v>
      </c>
      <c r="E519" t="s">
        <v>3397</v>
      </c>
      <c r="F519" s="1" t="s">
        <v>115</v>
      </c>
      <c r="G519" t="s">
        <v>116</v>
      </c>
      <c r="H519" t="s">
        <v>43</v>
      </c>
      <c r="I519" s="1" t="s">
        <v>3398</v>
      </c>
      <c r="J519" s="1" t="s">
        <v>3399</v>
      </c>
      <c r="K519" t="s">
        <v>3400</v>
      </c>
      <c r="L519" t="s">
        <v>3401</v>
      </c>
      <c r="M519" t="s">
        <v>33</v>
      </c>
      <c r="N519" t="s">
        <v>106</v>
      </c>
      <c r="O519" t="s">
        <v>22</v>
      </c>
      <c r="P519" t="s">
        <v>23</v>
      </c>
      <c r="Q519">
        <v>3</v>
      </c>
    </row>
    <row r="520" spans="1:17" x14ac:dyDescent="0.25">
      <c r="A520">
        <v>519</v>
      </c>
      <c r="B520" t="s">
        <v>3402</v>
      </c>
      <c r="C520" s="2">
        <v>27956</v>
      </c>
      <c r="D520">
        <v>50</v>
      </c>
      <c r="E520" t="s">
        <v>3403</v>
      </c>
      <c r="F520" s="1" t="s">
        <v>142</v>
      </c>
      <c r="G520" t="s">
        <v>143</v>
      </c>
      <c r="H520" t="s">
        <v>19</v>
      </c>
      <c r="I520" s="1" t="s">
        <v>3404</v>
      </c>
      <c r="J520" s="1" t="s">
        <v>3405</v>
      </c>
      <c r="K520" t="s">
        <v>3406</v>
      </c>
      <c r="L520" t="s">
        <v>3407</v>
      </c>
      <c r="M520" t="s">
        <v>20</v>
      </c>
      <c r="N520" t="s">
        <v>150</v>
      </c>
      <c r="O520" t="s">
        <v>35</v>
      </c>
      <c r="P520" t="s">
        <v>23</v>
      </c>
      <c r="Q520">
        <v>1</v>
      </c>
    </row>
    <row r="521" spans="1:17" x14ac:dyDescent="0.25">
      <c r="A521">
        <v>520</v>
      </c>
      <c r="B521" t="s">
        <v>3408</v>
      </c>
      <c r="C521" s="2">
        <v>26735</v>
      </c>
      <c r="D521">
        <v>53</v>
      </c>
      <c r="E521" t="s">
        <v>3409</v>
      </c>
      <c r="F521" s="1" t="s">
        <v>210</v>
      </c>
      <c r="G521" t="s">
        <v>211</v>
      </c>
      <c r="H521" t="s">
        <v>57</v>
      </c>
      <c r="I521" s="1" t="s">
        <v>3410</v>
      </c>
      <c r="J521" s="1" t="s">
        <v>3411</v>
      </c>
      <c r="K521" t="s">
        <v>3412</v>
      </c>
      <c r="L521" t="s">
        <v>3413</v>
      </c>
      <c r="M521" t="s">
        <v>27</v>
      </c>
      <c r="N521" t="s">
        <v>66</v>
      </c>
      <c r="O521" t="s">
        <v>40</v>
      </c>
      <c r="P521" t="s">
        <v>29</v>
      </c>
      <c r="Q521">
        <v>0</v>
      </c>
    </row>
    <row r="522" spans="1:17" x14ac:dyDescent="0.25">
      <c r="A522">
        <v>521</v>
      </c>
      <c r="B522" t="s">
        <v>3414</v>
      </c>
      <c r="C522" s="2">
        <v>27546</v>
      </c>
      <c r="D522">
        <v>51</v>
      </c>
      <c r="E522" t="s">
        <v>3415</v>
      </c>
      <c r="F522" s="1" t="s">
        <v>144</v>
      </c>
      <c r="G522" t="s">
        <v>145</v>
      </c>
      <c r="H522" t="s">
        <v>119</v>
      </c>
      <c r="I522" s="1" t="s">
        <v>3416</v>
      </c>
      <c r="J522" s="1" t="s">
        <v>3417</v>
      </c>
      <c r="K522" t="s">
        <v>3418</v>
      </c>
      <c r="L522" t="s">
        <v>3419</v>
      </c>
      <c r="M522" t="s">
        <v>27</v>
      </c>
      <c r="N522" t="s">
        <v>54</v>
      </c>
      <c r="O522" t="s">
        <v>50</v>
      </c>
      <c r="P522" t="s">
        <v>29</v>
      </c>
      <c r="Q522">
        <v>0</v>
      </c>
    </row>
    <row r="523" spans="1:17" x14ac:dyDescent="0.25">
      <c r="A523">
        <v>522</v>
      </c>
      <c r="B523" t="s">
        <v>3420</v>
      </c>
      <c r="C523" s="2">
        <v>26074</v>
      </c>
      <c r="D523">
        <v>55</v>
      </c>
      <c r="E523" t="s">
        <v>3421</v>
      </c>
      <c r="F523" s="1" t="s">
        <v>138</v>
      </c>
      <c r="G523" t="s">
        <v>139</v>
      </c>
      <c r="H523" t="s">
        <v>47</v>
      </c>
      <c r="I523" s="1" t="s">
        <v>3422</v>
      </c>
      <c r="J523" s="1" t="s">
        <v>3423</v>
      </c>
      <c r="K523" t="s">
        <v>3424</v>
      </c>
      <c r="L523" t="s">
        <v>3425</v>
      </c>
      <c r="M523" t="s">
        <v>48</v>
      </c>
      <c r="N523" t="s">
        <v>212</v>
      </c>
      <c r="O523" t="s">
        <v>40</v>
      </c>
      <c r="P523" t="s">
        <v>23</v>
      </c>
      <c r="Q523">
        <v>1</v>
      </c>
    </row>
    <row r="524" spans="1:17" x14ac:dyDescent="0.25">
      <c r="A524">
        <v>523</v>
      </c>
      <c r="B524" t="s">
        <v>3426</v>
      </c>
      <c r="C524" s="2">
        <v>38491</v>
      </c>
      <c r="D524">
        <v>21</v>
      </c>
      <c r="E524" t="s">
        <v>3427</v>
      </c>
      <c r="F524" s="1" t="s">
        <v>255</v>
      </c>
      <c r="G524" t="s">
        <v>256</v>
      </c>
      <c r="H524" t="s">
        <v>257</v>
      </c>
      <c r="I524" s="1" t="s">
        <v>3428</v>
      </c>
      <c r="J524" s="1" t="s">
        <v>3429</v>
      </c>
      <c r="K524" t="s">
        <v>3430</v>
      </c>
      <c r="L524" t="s">
        <v>3431</v>
      </c>
      <c r="M524" t="s">
        <v>27</v>
      </c>
      <c r="N524" t="s">
        <v>212</v>
      </c>
      <c r="O524" t="s">
        <v>40</v>
      </c>
      <c r="P524" t="s">
        <v>29</v>
      </c>
      <c r="Q524">
        <v>0</v>
      </c>
    </row>
    <row r="525" spans="1:17" x14ac:dyDescent="0.25">
      <c r="A525">
        <v>524</v>
      </c>
      <c r="B525" t="s">
        <v>3432</v>
      </c>
      <c r="C525" s="2">
        <v>33495</v>
      </c>
      <c r="D525">
        <v>35</v>
      </c>
      <c r="E525" t="s">
        <v>3433</v>
      </c>
      <c r="F525" s="1" t="s">
        <v>202</v>
      </c>
      <c r="G525" t="s">
        <v>203</v>
      </c>
      <c r="H525" t="s">
        <v>43</v>
      </c>
      <c r="I525" s="1" t="s">
        <v>3434</v>
      </c>
      <c r="J525" s="1" t="s">
        <v>3435</v>
      </c>
      <c r="K525" t="s">
        <v>3436</v>
      </c>
      <c r="L525" t="s">
        <v>3437</v>
      </c>
      <c r="M525" t="s">
        <v>20</v>
      </c>
      <c r="N525" t="s">
        <v>21</v>
      </c>
      <c r="O525" t="s">
        <v>35</v>
      </c>
      <c r="P525" t="s">
        <v>23</v>
      </c>
      <c r="Q525">
        <v>1</v>
      </c>
    </row>
    <row r="526" spans="1:17" x14ac:dyDescent="0.25">
      <c r="A526">
        <v>525</v>
      </c>
      <c r="B526" t="s">
        <v>3438</v>
      </c>
      <c r="C526" s="2">
        <v>30867</v>
      </c>
      <c r="D526">
        <v>42</v>
      </c>
      <c r="E526" t="s">
        <v>3439</v>
      </c>
      <c r="F526" s="1" t="s">
        <v>280</v>
      </c>
      <c r="G526" t="s">
        <v>281</v>
      </c>
      <c r="H526" t="s">
        <v>249</v>
      </c>
      <c r="I526" s="1" t="s">
        <v>3440</v>
      </c>
      <c r="J526" s="1" t="s">
        <v>3441</v>
      </c>
      <c r="K526" t="s">
        <v>3442</v>
      </c>
      <c r="L526" t="s">
        <v>3443</v>
      </c>
      <c r="M526" t="s">
        <v>27</v>
      </c>
      <c r="N526" t="s">
        <v>193</v>
      </c>
      <c r="O526" t="s">
        <v>59</v>
      </c>
      <c r="P526" t="s">
        <v>29</v>
      </c>
      <c r="Q526">
        <v>0</v>
      </c>
    </row>
    <row r="527" spans="1:17" x14ac:dyDescent="0.25">
      <c r="A527">
        <v>526</v>
      </c>
      <c r="B527" t="s">
        <v>3444</v>
      </c>
      <c r="C527" s="2">
        <v>39067</v>
      </c>
      <c r="D527">
        <v>20</v>
      </c>
      <c r="E527" t="s">
        <v>3445</v>
      </c>
      <c r="F527" s="1" t="s">
        <v>55</v>
      </c>
      <c r="G527" t="s">
        <v>56</v>
      </c>
      <c r="H527" t="s">
        <v>57</v>
      </c>
      <c r="I527" s="1" t="s">
        <v>3446</v>
      </c>
      <c r="J527" s="1" t="s">
        <v>3447</v>
      </c>
      <c r="K527" t="s">
        <v>3448</v>
      </c>
      <c r="L527" t="s">
        <v>3449</v>
      </c>
      <c r="M527" t="s">
        <v>27</v>
      </c>
      <c r="N527" t="s">
        <v>78</v>
      </c>
      <c r="O527" t="s">
        <v>35</v>
      </c>
      <c r="P527" t="s">
        <v>29</v>
      </c>
      <c r="Q527">
        <v>0</v>
      </c>
    </row>
    <row r="528" spans="1:17" x14ac:dyDescent="0.25">
      <c r="A528">
        <v>527</v>
      </c>
      <c r="B528" t="s">
        <v>3450</v>
      </c>
      <c r="C528" s="2">
        <v>23490</v>
      </c>
      <c r="D528">
        <v>62</v>
      </c>
      <c r="E528" t="s">
        <v>3451</v>
      </c>
      <c r="F528" s="1" t="s">
        <v>243</v>
      </c>
      <c r="G528" t="s">
        <v>244</v>
      </c>
      <c r="H528" t="s">
        <v>135</v>
      </c>
      <c r="I528" s="1" t="s">
        <v>3452</v>
      </c>
      <c r="J528" s="1" t="s">
        <v>3453</v>
      </c>
      <c r="K528" t="s">
        <v>3454</v>
      </c>
      <c r="L528" t="s">
        <v>3455</v>
      </c>
      <c r="M528" t="s">
        <v>27</v>
      </c>
      <c r="N528" t="s">
        <v>44</v>
      </c>
      <c r="O528" t="s">
        <v>22</v>
      </c>
      <c r="P528" t="s">
        <v>23</v>
      </c>
      <c r="Q528">
        <v>1</v>
      </c>
    </row>
    <row r="529" spans="1:17" x14ac:dyDescent="0.25">
      <c r="A529">
        <v>528</v>
      </c>
      <c r="B529" t="s">
        <v>3456</v>
      </c>
      <c r="C529" s="2">
        <v>37263</v>
      </c>
      <c r="D529">
        <v>24</v>
      </c>
      <c r="E529" t="s">
        <v>3457</v>
      </c>
      <c r="F529" s="1" t="s">
        <v>191</v>
      </c>
      <c r="G529" t="s">
        <v>192</v>
      </c>
      <c r="H529" t="s">
        <v>126</v>
      </c>
      <c r="I529" s="1" t="s">
        <v>3458</v>
      </c>
      <c r="J529" s="1" t="s">
        <v>3459</v>
      </c>
      <c r="K529" t="s">
        <v>3460</v>
      </c>
      <c r="L529" t="s">
        <v>3461</v>
      </c>
      <c r="M529" t="s">
        <v>27</v>
      </c>
      <c r="N529" t="s">
        <v>21</v>
      </c>
      <c r="O529" t="s">
        <v>50</v>
      </c>
      <c r="P529" t="s">
        <v>23</v>
      </c>
      <c r="Q529">
        <v>3</v>
      </c>
    </row>
    <row r="530" spans="1:17" x14ac:dyDescent="0.25">
      <c r="A530">
        <v>529</v>
      </c>
      <c r="B530" t="s">
        <v>3462</v>
      </c>
      <c r="C530" s="2">
        <v>30999</v>
      </c>
      <c r="D530">
        <v>42</v>
      </c>
      <c r="E530" t="s">
        <v>3463</v>
      </c>
      <c r="F530" s="1" t="s">
        <v>237</v>
      </c>
      <c r="G530" t="s">
        <v>238</v>
      </c>
      <c r="H530" t="s">
        <v>19</v>
      </c>
      <c r="I530" s="1" t="s">
        <v>3464</v>
      </c>
      <c r="J530" s="1" t="s">
        <v>3465</v>
      </c>
      <c r="K530" t="s">
        <v>3466</v>
      </c>
      <c r="L530" t="s">
        <v>3467</v>
      </c>
      <c r="M530" t="s">
        <v>48</v>
      </c>
      <c r="N530" t="s">
        <v>114</v>
      </c>
      <c r="O530" t="s">
        <v>40</v>
      </c>
      <c r="P530" t="s">
        <v>23</v>
      </c>
      <c r="Q530">
        <v>3</v>
      </c>
    </row>
    <row r="531" spans="1:17" x14ac:dyDescent="0.25">
      <c r="A531">
        <v>530</v>
      </c>
      <c r="B531" t="s">
        <v>3468</v>
      </c>
      <c r="C531" s="2">
        <v>38029</v>
      </c>
      <c r="D531">
        <v>22</v>
      </c>
      <c r="E531" t="s">
        <v>3469</v>
      </c>
      <c r="F531" s="1" t="s">
        <v>140</v>
      </c>
      <c r="G531" t="s">
        <v>141</v>
      </c>
      <c r="H531" t="s">
        <v>110</v>
      </c>
      <c r="I531" s="1" t="s">
        <v>3470</v>
      </c>
      <c r="J531" s="1" t="s">
        <v>3471</v>
      </c>
      <c r="K531" t="s">
        <v>3472</v>
      </c>
      <c r="L531" t="s">
        <v>3473</v>
      </c>
      <c r="M531" t="s">
        <v>27</v>
      </c>
      <c r="N531" t="s">
        <v>114</v>
      </c>
      <c r="O531" t="s">
        <v>59</v>
      </c>
      <c r="P531" t="s">
        <v>23</v>
      </c>
      <c r="Q531">
        <v>3</v>
      </c>
    </row>
    <row r="532" spans="1:17" x14ac:dyDescent="0.25">
      <c r="A532">
        <v>531</v>
      </c>
      <c r="B532" t="s">
        <v>3474</v>
      </c>
      <c r="C532" s="2">
        <v>38171</v>
      </c>
      <c r="D532">
        <v>22</v>
      </c>
      <c r="E532" t="s">
        <v>3475</v>
      </c>
      <c r="F532" s="1" t="s">
        <v>178</v>
      </c>
      <c r="G532" t="s">
        <v>179</v>
      </c>
      <c r="H532" t="s">
        <v>180</v>
      </c>
      <c r="I532" s="1" t="s">
        <v>3476</v>
      </c>
      <c r="J532" s="1" t="s">
        <v>3477</v>
      </c>
      <c r="K532" t="s">
        <v>3478</v>
      </c>
      <c r="L532" t="s">
        <v>3479</v>
      </c>
      <c r="M532" t="s">
        <v>48</v>
      </c>
      <c r="N532" t="s">
        <v>99</v>
      </c>
      <c r="O532" t="s">
        <v>35</v>
      </c>
      <c r="P532" t="s">
        <v>29</v>
      </c>
      <c r="Q532">
        <v>0</v>
      </c>
    </row>
    <row r="533" spans="1:17" x14ac:dyDescent="0.25">
      <c r="A533">
        <v>532</v>
      </c>
      <c r="B533" t="s">
        <v>3480</v>
      </c>
      <c r="C533" s="2">
        <v>31588</v>
      </c>
      <c r="D533">
        <v>40</v>
      </c>
      <c r="E533" t="s">
        <v>3481</v>
      </c>
      <c r="F533" s="1" t="s">
        <v>282</v>
      </c>
      <c r="G533" t="s">
        <v>283</v>
      </c>
      <c r="H533" t="s">
        <v>53</v>
      </c>
      <c r="I533" s="1" t="s">
        <v>3482</v>
      </c>
      <c r="J533" s="1" t="s">
        <v>3483</v>
      </c>
      <c r="K533" t="s">
        <v>3484</v>
      </c>
      <c r="L533" t="s">
        <v>3485</v>
      </c>
      <c r="M533" t="s">
        <v>27</v>
      </c>
      <c r="N533" t="s">
        <v>49</v>
      </c>
      <c r="O533" t="s">
        <v>50</v>
      </c>
      <c r="P533" t="s">
        <v>23</v>
      </c>
      <c r="Q533">
        <v>1</v>
      </c>
    </row>
    <row r="534" spans="1:17" x14ac:dyDescent="0.25">
      <c r="A534">
        <v>533</v>
      </c>
      <c r="B534" t="s">
        <v>3486</v>
      </c>
      <c r="C534" s="2">
        <v>29174</v>
      </c>
      <c r="D534">
        <v>47</v>
      </c>
      <c r="E534" t="s">
        <v>3487</v>
      </c>
      <c r="F534" s="1" t="s">
        <v>94</v>
      </c>
      <c r="G534" t="s">
        <v>95</v>
      </c>
      <c r="H534" t="s">
        <v>96</v>
      </c>
      <c r="I534" s="1" t="s">
        <v>3488</v>
      </c>
      <c r="J534" s="1" t="s">
        <v>3489</v>
      </c>
      <c r="K534" t="s">
        <v>3490</v>
      </c>
      <c r="L534" t="s">
        <v>3491</v>
      </c>
      <c r="M534" t="s">
        <v>27</v>
      </c>
      <c r="N534" t="s">
        <v>39</v>
      </c>
      <c r="O534" t="s">
        <v>50</v>
      </c>
      <c r="P534" t="s">
        <v>29</v>
      </c>
      <c r="Q534">
        <v>0</v>
      </c>
    </row>
    <row r="535" spans="1:17" x14ac:dyDescent="0.25">
      <c r="A535">
        <v>534</v>
      </c>
      <c r="B535" t="s">
        <v>3492</v>
      </c>
      <c r="C535" s="2">
        <v>37603</v>
      </c>
      <c r="D535">
        <v>24</v>
      </c>
      <c r="E535" t="s">
        <v>3493</v>
      </c>
      <c r="F535" s="1" t="s">
        <v>55</v>
      </c>
      <c r="G535" t="s">
        <v>56</v>
      </c>
      <c r="H535" t="s">
        <v>57</v>
      </c>
      <c r="I535" s="1" t="s">
        <v>3494</v>
      </c>
      <c r="J535" s="1" t="s">
        <v>3495</v>
      </c>
      <c r="K535" t="s">
        <v>3496</v>
      </c>
      <c r="L535" t="s">
        <v>3497</v>
      </c>
      <c r="M535" t="s">
        <v>48</v>
      </c>
      <c r="N535" t="s">
        <v>67</v>
      </c>
      <c r="O535" t="s">
        <v>40</v>
      </c>
      <c r="P535" t="s">
        <v>23</v>
      </c>
      <c r="Q535">
        <v>1</v>
      </c>
    </row>
    <row r="536" spans="1:17" x14ac:dyDescent="0.25">
      <c r="A536">
        <v>535</v>
      </c>
      <c r="B536" t="s">
        <v>3498</v>
      </c>
      <c r="C536" s="2">
        <v>22366</v>
      </c>
      <c r="D536">
        <v>65</v>
      </c>
      <c r="E536" t="s">
        <v>3499</v>
      </c>
      <c r="F536" s="1" t="s">
        <v>237</v>
      </c>
      <c r="G536" t="s">
        <v>238</v>
      </c>
      <c r="H536" t="s">
        <v>19</v>
      </c>
      <c r="I536" s="1" t="s">
        <v>3500</v>
      </c>
      <c r="J536" s="1" t="s">
        <v>3501</v>
      </c>
      <c r="K536" t="s">
        <v>3502</v>
      </c>
      <c r="L536" t="s">
        <v>3503</v>
      </c>
      <c r="M536" t="s">
        <v>48</v>
      </c>
      <c r="N536" t="s">
        <v>72</v>
      </c>
      <c r="O536" t="s">
        <v>50</v>
      </c>
      <c r="P536" t="s">
        <v>23</v>
      </c>
      <c r="Q536">
        <v>1</v>
      </c>
    </row>
    <row r="537" spans="1:17" x14ac:dyDescent="0.25">
      <c r="A537">
        <v>536</v>
      </c>
      <c r="B537" t="s">
        <v>3504</v>
      </c>
      <c r="C537" s="2">
        <v>22674</v>
      </c>
      <c r="D537">
        <v>64</v>
      </c>
      <c r="E537" t="s">
        <v>3505</v>
      </c>
      <c r="F537" s="1" t="s">
        <v>117</v>
      </c>
      <c r="G537" t="s">
        <v>118</v>
      </c>
      <c r="H537" t="s">
        <v>119</v>
      </c>
      <c r="I537" s="1" t="s">
        <v>3506</v>
      </c>
      <c r="J537" s="1" t="s">
        <v>3507</v>
      </c>
      <c r="K537" t="s">
        <v>3508</v>
      </c>
      <c r="L537" t="s">
        <v>3509</v>
      </c>
      <c r="M537" t="s">
        <v>27</v>
      </c>
      <c r="N537" t="s">
        <v>28</v>
      </c>
      <c r="O537" t="s">
        <v>50</v>
      </c>
      <c r="P537" t="s">
        <v>23</v>
      </c>
      <c r="Q537">
        <v>1</v>
      </c>
    </row>
    <row r="538" spans="1:17" x14ac:dyDescent="0.25">
      <c r="A538">
        <v>537</v>
      </c>
      <c r="B538" t="s">
        <v>3510</v>
      </c>
      <c r="C538" s="2">
        <v>27506</v>
      </c>
      <c r="D538">
        <v>51</v>
      </c>
      <c r="E538" t="s">
        <v>3511</v>
      </c>
      <c r="F538" s="1" t="s">
        <v>189</v>
      </c>
      <c r="G538" t="s">
        <v>190</v>
      </c>
      <c r="H538" t="s">
        <v>91</v>
      </c>
      <c r="I538" s="1" t="s">
        <v>3512</v>
      </c>
      <c r="J538" s="1" t="s">
        <v>3513</v>
      </c>
      <c r="K538" t="s">
        <v>3514</v>
      </c>
      <c r="L538" t="s">
        <v>3515</v>
      </c>
      <c r="M538" t="s">
        <v>27</v>
      </c>
      <c r="N538" t="s">
        <v>82</v>
      </c>
      <c r="O538" t="s">
        <v>50</v>
      </c>
      <c r="P538" t="s">
        <v>29</v>
      </c>
      <c r="Q538">
        <v>0</v>
      </c>
    </row>
    <row r="539" spans="1:17" x14ac:dyDescent="0.25">
      <c r="A539">
        <v>538</v>
      </c>
      <c r="B539" t="s">
        <v>3516</v>
      </c>
      <c r="C539" s="2">
        <v>38410</v>
      </c>
      <c r="D539">
        <v>21</v>
      </c>
      <c r="E539" t="s">
        <v>3517</v>
      </c>
      <c r="F539" s="1" t="s">
        <v>264</v>
      </c>
      <c r="G539" t="s">
        <v>265</v>
      </c>
      <c r="H539" t="s">
        <v>65</v>
      </c>
      <c r="I539" s="1" t="s">
        <v>3518</v>
      </c>
      <c r="J539" s="1" t="s">
        <v>3519</v>
      </c>
      <c r="K539" t="s">
        <v>3520</v>
      </c>
      <c r="L539" t="s">
        <v>3521</v>
      </c>
      <c r="M539" t="s">
        <v>48</v>
      </c>
      <c r="N539" t="s">
        <v>28</v>
      </c>
      <c r="O539" t="s">
        <v>50</v>
      </c>
      <c r="P539" t="s">
        <v>29</v>
      </c>
      <c r="Q539">
        <v>0</v>
      </c>
    </row>
    <row r="540" spans="1:17" x14ac:dyDescent="0.25">
      <c r="A540">
        <v>539</v>
      </c>
      <c r="B540" t="s">
        <v>3522</v>
      </c>
      <c r="C540" s="2">
        <v>38450</v>
      </c>
      <c r="D540">
        <v>21</v>
      </c>
      <c r="E540" t="s">
        <v>3523</v>
      </c>
      <c r="F540" s="1" t="s">
        <v>230</v>
      </c>
      <c r="G540" t="s">
        <v>231</v>
      </c>
      <c r="H540" t="s">
        <v>62</v>
      </c>
      <c r="I540" s="1" t="s">
        <v>3524</v>
      </c>
      <c r="J540" s="1" t="s">
        <v>3525</v>
      </c>
      <c r="K540" t="s">
        <v>3526</v>
      </c>
      <c r="L540" t="s">
        <v>3527</v>
      </c>
      <c r="M540" t="s">
        <v>27</v>
      </c>
      <c r="N540" t="s">
        <v>44</v>
      </c>
      <c r="O540" t="s">
        <v>40</v>
      </c>
      <c r="P540" t="s">
        <v>23</v>
      </c>
      <c r="Q540">
        <v>3</v>
      </c>
    </row>
    <row r="541" spans="1:17" x14ac:dyDescent="0.25">
      <c r="A541">
        <v>540</v>
      </c>
      <c r="B541" t="s">
        <v>3528</v>
      </c>
      <c r="C541" s="2">
        <v>35899</v>
      </c>
      <c r="D541">
        <v>28</v>
      </c>
      <c r="E541" t="s">
        <v>3529</v>
      </c>
      <c r="F541" s="1" t="s">
        <v>286</v>
      </c>
      <c r="G541" t="s">
        <v>287</v>
      </c>
      <c r="H541" t="s">
        <v>32</v>
      </c>
      <c r="I541" s="1" t="s">
        <v>3530</v>
      </c>
      <c r="J541" s="1" t="s">
        <v>3531</v>
      </c>
      <c r="K541" t="s">
        <v>3532</v>
      </c>
      <c r="L541" t="s">
        <v>3533</v>
      </c>
      <c r="M541" t="s">
        <v>48</v>
      </c>
      <c r="N541" t="s">
        <v>150</v>
      </c>
      <c r="O541" t="s">
        <v>22</v>
      </c>
      <c r="P541" t="s">
        <v>29</v>
      </c>
      <c r="Q541">
        <v>0</v>
      </c>
    </row>
    <row r="542" spans="1:17" x14ac:dyDescent="0.25">
      <c r="A542">
        <v>541</v>
      </c>
      <c r="B542" t="s">
        <v>3534</v>
      </c>
      <c r="C542" s="2">
        <v>25508</v>
      </c>
      <c r="D542">
        <v>57</v>
      </c>
      <c r="E542" t="s">
        <v>3535</v>
      </c>
      <c r="F542" s="1" t="s">
        <v>276</v>
      </c>
      <c r="G542" t="s">
        <v>277</v>
      </c>
      <c r="H542" t="s">
        <v>38</v>
      </c>
      <c r="I542" s="1" t="s">
        <v>3536</v>
      </c>
      <c r="J542" s="1" t="s">
        <v>3537</v>
      </c>
      <c r="K542" t="s">
        <v>3538</v>
      </c>
      <c r="L542" t="s">
        <v>3539</v>
      </c>
      <c r="M542" t="s">
        <v>48</v>
      </c>
      <c r="N542" t="s">
        <v>28</v>
      </c>
      <c r="O542" t="s">
        <v>40</v>
      </c>
      <c r="P542" t="s">
        <v>23</v>
      </c>
      <c r="Q542">
        <v>1</v>
      </c>
    </row>
    <row r="543" spans="1:17" x14ac:dyDescent="0.25">
      <c r="A543">
        <v>542</v>
      </c>
      <c r="B543" t="s">
        <v>3540</v>
      </c>
      <c r="C543" s="2">
        <v>38044</v>
      </c>
      <c r="D543">
        <v>22</v>
      </c>
      <c r="E543" t="s">
        <v>3541</v>
      </c>
      <c r="F543" s="1" t="s">
        <v>208</v>
      </c>
      <c r="G543" t="s">
        <v>209</v>
      </c>
      <c r="H543" t="s">
        <v>62</v>
      </c>
      <c r="I543" s="1" t="s">
        <v>3542</v>
      </c>
      <c r="J543" s="1" t="s">
        <v>3543</v>
      </c>
      <c r="K543" t="s">
        <v>3544</v>
      </c>
      <c r="L543" t="s">
        <v>3545</v>
      </c>
      <c r="M543" t="s">
        <v>48</v>
      </c>
      <c r="N543" t="s">
        <v>67</v>
      </c>
      <c r="O543" t="s">
        <v>59</v>
      </c>
      <c r="P543" t="s">
        <v>29</v>
      </c>
      <c r="Q543">
        <v>0</v>
      </c>
    </row>
    <row r="544" spans="1:17" x14ac:dyDescent="0.25">
      <c r="A544">
        <v>543</v>
      </c>
      <c r="B544" t="s">
        <v>3546</v>
      </c>
      <c r="C544" s="2">
        <v>35004</v>
      </c>
      <c r="D544">
        <v>31</v>
      </c>
      <c r="E544" t="s">
        <v>3547</v>
      </c>
      <c r="F544" s="1" t="s">
        <v>245</v>
      </c>
      <c r="G544" t="s">
        <v>246</v>
      </c>
      <c r="H544" t="s">
        <v>96</v>
      </c>
      <c r="I544" s="1" t="s">
        <v>3548</v>
      </c>
      <c r="J544" s="1" t="s">
        <v>3549</v>
      </c>
      <c r="K544" t="s">
        <v>3550</v>
      </c>
      <c r="L544" t="s">
        <v>3551</v>
      </c>
      <c r="M544" t="s">
        <v>27</v>
      </c>
      <c r="N544" t="s">
        <v>78</v>
      </c>
      <c r="O544" t="s">
        <v>40</v>
      </c>
      <c r="P544" t="s">
        <v>29</v>
      </c>
      <c r="Q544">
        <v>0</v>
      </c>
    </row>
    <row r="545" spans="1:17" x14ac:dyDescent="0.25">
      <c r="A545">
        <v>544</v>
      </c>
      <c r="B545" t="s">
        <v>3552</v>
      </c>
      <c r="C545" s="2">
        <v>23819</v>
      </c>
      <c r="D545">
        <v>61</v>
      </c>
      <c r="E545" t="s">
        <v>3553</v>
      </c>
      <c r="F545" s="1" t="s">
        <v>94</v>
      </c>
      <c r="G545" t="s">
        <v>95</v>
      </c>
      <c r="H545" t="s">
        <v>96</v>
      </c>
      <c r="I545" s="1" t="s">
        <v>3554</v>
      </c>
      <c r="J545" s="1" t="s">
        <v>3555</v>
      </c>
      <c r="K545" t="s">
        <v>3556</v>
      </c>
      <c r="L545" t="s">
        <v>3557</v>
      </c>
      <c r="M545" t="s">
        <v>20</v>
      </c>
      <c r="N545" t="s">
        <v>58</v>
      </c>
      <c r="O545" t="s">
        <v>40</v>
      </c>
      <c r="P545" t="s">
        <v>23</v>
      </c>
      <c r="Q545">
        <v>1</v>
      </c>
    </row>
    <row r="546" spans="1:17" x14ac:dyDescent="0.25">
      <c r="A546">
        <v>545</v>
      </c>
      <c r="B546" t="s">
        <v>3558</v>
      </c>
      <c r="C546" s="2">
        <v>39252</v>
      </c>
      <c r="D546">
        <v>19</v>
      </c>
      <c r="E546" t="s">
        <v>3559</v>
      </c>
      <c r="F546" s="1" t="s">
        <v>133</v>
      </c>
      <c r="G546" t="s">
        <v>134</v>
      </c>
      <c r="H546" t="s">
        <v>135</v>
      </c>
      <c r="I546" s="1" t="s">
        <v>3560</v>
      </c>
      <c r="J546" s="1" t="s">
        <v>3561</v>
      </c>
      <c r="K546" t="s">
        <v>3562</v>
      </c>
      <c r="L546" t="s">
        <v>3563</v>
      </c>
      <c r="M546" t="s">
        <v>33</v>
      </c>
      <c r="N546" t="s">
        <v>34</v>
      </c>
      <c r="O546" t="s">
        <v>59</v>
      </c>
      <c r="P546" t="s">
        <v>23</v>
      </c>
      <c r="Q546">
        <v>3</v>
      </c>
    </row>
    <row r="547" spans="1:17" x14ac:dyDescent="0.25">
      <c r="A547">
        <v>546</v>
      </c>
      <c r="B547" t="s">
        <v>3564</v>
      </c>
      <c r="C547" s="2">
        <v>26398</v>
      </c>
      <c r="D547">
        <v>54</v>
      </c>
      <c r="E547" t="s">
        <v>3565</v>
      </c>
      <c r="F547" s="1" t="s">
        <v>213</v>
      </c>
      <c r="G547" t="s">
        <v>214</v>
      </c>
      <c r="H547" t="s">
        <v>119</v>
      </c>
      <c r="I547" s="1" t="s">
        <v>3566</v>
      </c>
      <c r="J547" s="1" t="s">
        <v>3567</v>
      </c>
      <c r="K547" t="s">
        <v>3568</v>
      </c>
      <c r="L547" t="s">
        <v>3569</v>
      </c>
      <c r="M547" t="s">
        <v>48</v>
      </c>
      <c r="N547" t="s">
        <v>212</v>
      </c>
      <c r="O547" t="s">
        <v>40</v>
      </c>
      <c r="P547" t="s">
        <v>29</v>
      </c>
      <c r="Q547">
        <v>0</v>
      </c>
    </row>
    <row r="548" spans="1:17" x14ac:dyDescent="0.25">
      <c r="A548">
        <v>547</v>
      </c>
      <c r="B548" t="s">
        <v>3570</v>
      </c>
      <c r="C548" s="2">
        <v>25068</v>
      </c>
      <c r="D548">
        <v>58</v>
      </c>
      <c r="E548" t="s">
        <v>3571</v>
      </c>
      <c r="F548" s="1" t="s">
        <v>153</v>
      </c>
      <c r="G548" t="s">
        <v>154</v>
      </c>
      <c r="H548" t="s">
        <v>104</v>
      </c>
      <c r="I548" s="1" t="s">
        <v>3572</v>
      </c>
      <c r="J548" s="1" t="s">
        <v>3573</v>
      </c>
      <c r="K548" t="s">
        <v>3574</v>
      </c>
      <c r="L548" t="s">
        <v>3575</v>
      </c>
      <c r="M548" t="s">
        <v>48</v>
      </c>
      <c r="N548" t="s">
        <v>212</v>
      </c>
      <c r="O548" t="s">
        <v>59</v>
      </c>
      <c r="P548" t="s">
        <v>29</v>
      </c>
      <c r="Q548">
        <v>0</v>
      </c>
    </row>
    <row r="549" spans="1:17" x14ac:dyDescent="0.25">
      <c r="A549">
        <v>548</v>
      </c>
      <c r="B549" t="s">
        <v>3576</v>
      </c>
      <c r="C549" s="2">
        <v>37136</v>
      </c>
      <c r="D549">
        <v>25</v>
      </c>
      <c r="E549" t="s">
        <v>3577</v>
      </c>
      <c r="F549" s="1" t="s">
        <v>79</v>
      </c>
      <c r="G549" t="s">
        <v>80</v>
      </c>
      <c r="H549" t="s">
        <v>81</v>
      </c>
      <c r="I549" s="1" t="s">
        <v>3578</v>
      </c>
      <c r="J549" s="1" t="s">
        <v>3579</v>
      </c>
      <c r="K549" t="s">
        <v>3580</v>
      </c>
      <c r="L549" t="s">
        <v>3581</v>
      </c>
      <c r="M549" t="s">
        <v>27</v>
      </c>
      <c r="N549" t="s">
        <v>82</v>
      </c>
      <c r="O549" t="s">
        <v>40</v>
      </c>
      <c r="P549" t="s">
        <v>29</v>
      </c>
      <c r="Q549">
        <v>0</v>
      </c>
    </row>
    <row r="550" spans="1:17" x14ac:dyDescent="0.25">
      <c r="A550">
        <v>549</v>
      </c>
      <c r="B550" t="s">
        <v>3582</v>
      </c>
      <c r="C550" s="2">
        <v>28614</v>
      </c>
      <c r="D550">
        <v>48</v>
      </c>
      <c r="E550" t="s">
        <v>3583</v>
      </c>
      <c r="F550" s="1" t="s">
        <v>92</v>
      </c>
      <c r="G550" t="s">
        <v>93</v>
      </c>
      <c r="H550" t="s">
        <v>38</v>
      </c>
      <c r="I550" s="1" t="s">
        <v>3584</v>
      </c>
      <c r="J550" s="1" t="s">
        <v>3585</v>
      </c>
      <c r="K550" t="s">
        <v>3586</v>
      </c>
      <c r="L550" t="s">
        <v>3587</v>
      </c>
      <c r="M550" t="s">
        <v>27</v>
      </c>
      <c r="N550" t="s">
        <v>28</v>
      </c>
      <c r="O550" t="s">
        <v>59</v>
      </c>
      <c r="P550" t="s">
        <v>29</v>
      </c>
      <c r="Q550">
        <v>0</v>
      </c>
    </row>
    <row r="551" spans="1:17" x14ac:dyDescent="0.25">
      <c r="A551">
        <v>550</v>
      </c>
      <c r="B551" t="s">
        <v>3588</v>
      </c>
      <c r="C551" s="2">
        <v>39264</v>
      </c>
      <c r="D551">
        <v>19</v>
      </c>
      <c r="E551" t="s">
        <v>3589</v>
      </c>
      <c r="F551" s="1" t="s">
        <v>230</v>
      </c>
      <c r="G551" t="s">
        <v>231</v>
      </c>
      <c r="H551" t="s">
        <v>62</v>
      </c>
      <c r="I551" s="1" t="s">
        <v>3590</v>
      </c>
      <c r="J551" s="1" t="s">
        <v>3591</v>
      </c>
      <c r="K551" t="s">
        <v>3592</v>
      </c>
      <c r="L551" t="s">
        <v>3593</v>
      </c>
      <c r="M551" t="s">
        <v>27</v>
      </c>
      <c r="N551" t="s">
        <v>67</v>
      </c>
      <c r="O551" t="s">
        <v>40</v>
      </c>
      <c r="P551" t="s">
        <v>23</v>
      </c>
      <c r="Q551">
        <v>1</v>
      </c>
    </row>
    <row r="552" spans="1:17" x14ac:dyDescent="0.25">
      <c r="A552">
        <v>551</v>
      </c>
      <c r="B552" t="s">
        <v>3594</v>
      </c>
      <c r="C552" s="2">
        <v>36682</v>
      </c>
      <c r="D552">
        <v>26</v>
      </c>
      <c r="E552" t="s">
        <v>3595</v>
      </c>
      <c r="F552" s="1" t="s">
        <v>181</v>
      </c>
      <c r="G552" t="s">
        <v>182</v>
      </c>
      <c r="H552" t="s">
        <v>38</v>
      </c>
      <c r="I552" s="1" t="s">
        <v>3596</v>
      </c>
      <c r="J552" s="1" t="s">
        <v>3597</v>
      </c>
      <c r="K552" t="s">
        <v>3598</v>
      </c>
      <c r="L552" t="s">
        <v>3599</v>
      </c>
      <c r="M552" t="s">
        <v>33</v>
      </c>
      <c r="N552" t="s">
        <v>88</v>
      </c>
      <c r="O552" t="s">
        <v>22</v>
      </c>
      <c r="P552" t="s">
        <v>23</v>
      </c>
      <c r="Q552">
        <v>3</v>
      </c>
    </row>
    <row r="553" spans="1:17" x14ac:dyDescent="0.25">
      <c r="A553">
        <v>552</v>
      </c>
      <c r="B553" t="s">
        <v>3600</v>
      </c>
      <c r="C553" s="2">
        <v>33125</v>
      </c>
      <c r="D553">
        <v>36</v>
      </c>
      <c r="E553" t="s">
        <v>3601</v>
      </c>
      <c r="F553" s="1" t="s">
        <v>247</v>
      </c>
      <c r="G553" t="s">
        <v>248</v>
      </c>
      <c r="H553" t="s">
        <v>249</v>
      </c>
      <c r="I553" s="1" t="s">
        <v>3602</v>
      </c>
      <c r="J553" s="1" t="s">
        <v>3603</v>
      </c>
      <c r="K553" t="s">
        <v>3604</v>
      </c>
      <c r="L553" t="s">
        <v>3605</v>
      </c>
      <c r="M553" t="s">
        <v>27</v>
      </c>
      <c r="N553" t="s">
        <v>54</v>
      </c>
      <c r="O553" t="s">
        <v>50</v>
      </c>
      <c r="P553" t="s">
        <v>29</v>
      </c>
      <c r="Q553">
        <v>0</v>
      </c>
    </row>
    <row r="554" spans="1:17" x14ac:dyDescent="0.25">
      <c r="A554">
        <v>553</v>
      </c>
      <c r="B554" t="s">
        <v>3606</v>
      </c>
      <c r="C554" s="2">
        <v>34055</v>
      </c>
      <c r="D554">
        <v>33</v>
      </c>
      <c r="E554" t="s">
        <v>3607</v>
      </c>
      <c r="F554" s="1" t="s">
        <v>221</v>
      </c>
      <c r="G554" t="s">
        <v>222</v>
      </c>
      <c r="H554" t="s">
        <v>77</v>
      </c>
      <c r="I554" s="1" t="s">
        <v>3608</v>
      </c>
      <c r="J554" s="1" t="s">
        <v>3609</v>
      </c>
      <c r="K554" t="s">
        <v>3610</v>
      </c>
      <c r="L554" t="s">
        <v>3611</v>
      </c>
      <c r="M554" t="s">
        <v>27</v>
      </c>
      <c r="N554" t="s">
        <v>88</v>
      </c>
      <c r="O554" t="s">
        <v>35</v>
      </c>
      <c r="P554" t="s">
        <v>29</v>
      </c>
      <c r="Q554">
        <v>0</v>
      </c>
    </row>
    <row r="555" spans="1:17" x14ac:dyDescent="0.25">
      <c r="A555">
        <v>554</v>
      </c>
      <c r="B555" t="s">
        <v>3612</v>
      </c>
      <c r="C555" s="2">
        <v>28444</v>
      </c>
      <c r="D555">
        <v>49</v>
      </c>
      <c r="E555" t="s">
        <v>3613</v>
      </c>
      <c r="F555" s="1" t="s">
        <v>92</v>
      </c>
      <c r="G555" t="s">
        <v>93</v>
      </c>
      <c r="H555" t="s">
        <v>38</v>
      </c>
      <c r="I555" s="1" t="s">
        <v>3614</v>
      </c>
      <c r="J555" s="1" t="s">
        <v>3615</v>
      </c>
      <c r="K555" t="s">
        <v>3616</v>
      </c>
      <c r="L555" t="s">
        <v>3617</v>
      </c>
      <c r="M555" t="s">
        <v>27</v>
      </c>
      <c r="N555" t="s">
        <v>106</v>
      </c>
      <c r="O555" t="s">
        <v>50</v>
      </c>
      <c r="P555" t="s">
        <v>23</v>
      </c>
      <c r="Q555">
        <v>1</v>
      </c>
    </row>
    <row r="556" spans="1:17" x14ac:dyDescent="0.25">
      <c r="A556">
        <v>555</v>
      </c>
      <c r="B556" t="s">
        <v>3618</v>
      </c>
      <c r="C556" s="2">
        <v>30564</v>
      </c>
      <c r="D556">
        <v>43</v>
      </c>
      <c r="E556" t="s">
        <v>3619</v>
      </c>
      <c r="F556" s="1" t="s">
        <v>232</v>
      </c>
      <c r="G556" t="s">
        <v>233</v>
      </c>
      <c r="H556" t="s">
        <v>19</v>
      </c>
      <c r="I556" s="1" t="s">
        <v>3620</v>
      </c>
      <c r="J556" s="1" t="s">
        <v>3621</v>
      </c>
      <c r="K556" t="s">
        <v>3622</v>
      </c>
      <c r="L556" t="s">
        <v>3623</v>
      </c>
      <c r="M556" t="s">
        <v>27</v>
      </c>
      <c r="N556" t="s">
        <v>193</v>
      </c>
      <c r="O556" t="s">
        <v>22</v>
      </c>
      <c r="P556" t="s">
        <v>29</v>
      </c>
      <c r="Q556">
        <v>0</v>
      </c>
    </row>
    <row r="557" spans="1:17" x14ac:dyDescent="0.25">
      <c r="A557">
        <v>556</v>
      </c>
      <c r="B557" t="s">
        <v>3624</v>
      </c>
      <c r="C557" s="2">
        <v>27325</v>
      </c>
      <c r="D557">
        <v>52</v>
      </c>
      <c r="E557" t="s">
        <v>3625</v>
      </c>
      <c r="F557" s="1" t="s">
        <v>272</v>
      </c>
      <c r="G557" t="s">
        <v>273</v>
      </c>
      <c r="H557" t="s">
        <v>180</v>
      </c>
      <c r="I557" s="1" t="s">
        <v>3626</v>
      </c>
      <c r="J557" s="1" t="s">
        <v>3627</v>
      </c>
      <c r="K557" t="s">
        <v>3628</v>
      </c>
      <c r="L557" t="s">
        <v>3629</v>
      </c>
      <c r="M557" t="s">
        <v>33</v>
      </c>
      <c r="N557" t="s">
        <v>39</v>
      </c>
      <c r="O557" t="s">
        <v>50</v>
      </c>
      <c r="P557" t="s">
        <v>23</v>
      </c>
      <c r="Q557">
        <v>3</v>
      </c>
    </row>
    <row r="558" spans="1:17" x14ac:dyDescent="0.25">
      <c r="A558">
        <v>557</v>
      </c>
      <c r="B558" t="s">
        <v>3630</v>
      </c>
      <c r="C558" s="2">
        <v>33456</v>
      </c>
      <c r="D558">
        <v>35</v>
      </c>
      <c r="E558" t="s">
        <v>3631</v>
      </c>
      <c r="F558" s="1" t="s">
        <v>92</v>
      </c>
      <c r="G558" t="s">
        <v>93</v>
      </c>
      <c r="H558" t="s">
        <v>38</v>
      </c>
      <c r="I558" s="1" t="s">
        <v>3632</v>
      </c>
      <c r="J558" s="1" t="s">
        <v>3633</v>
      </c>
      <c r="K558" t="s">
        <v>3634</v>
      </c>
      <c r="L558" t="s">
        <v>3635</v>
      </c>
      <c r="M558" t="s">
        <v>48</v>
      </c>
      <c r="N558" t="s">
        <v>21</v>
      </c>
      <c r="O558" t="s">
        <v>50</v>
      </c>
      <c r="P558" t="s">
        <v>29</v>
      </c>
      <c r="Q558">
        <v>0</v>
      </c>
    </row>
    <row r="559" spans="1:17" x14ac:dyDescent="0.25">
      <c r="A559">
        <v>558</v>
      </c>
      <c r="B559" t="s">
        <v>3636</v>
      </c>
      <c r="C559" s="2">
        <v>24885</v>
      </c>
      <c r="D559">
        <v>58</v>
      </c>
      <c r="E559" t="s">
        <v>3637</v>
      </c>
      <c r="F559" s="1" t="s">
        <v>270</v>
      </c>
      <c r="G559" t="s">
        <v>271</v>
      </c>
      <c r="H559" t="s">
        <v>81</v>
      </c>
      <c r="I559" s="1" t="s">
        <v>3638</v>
      </c>
      <c r="J559" s="1" t="s">
        <v>3639</v>
      </c>
      <c r="K559" t="s">
        <v>3640</v>
      </c>
      <c r="L559" t="s">
        <v>3641</v>
      </c>
      <c r="M559" t="s">
        <v>27</v>
      </c>
      <c r="N559" t="s">
        <v>66</v>
      </c>
      <c r="O559" t="s">
        <v>22</v>
      </c>
      <c r="P559" t="s">
        <v>29</v>
      </c>
      <c r="Q559">
        <v>0</v>
      </c>
    </row>
    <row r="560" spans="1:17" x14ac:dyDescent="0.25">
      <c r="A560">
        <v>559</v>
      </c>
      <c r="B560" t="s">
        <v>3642</v>
      </c>
      <c r="C560" s="2">
        <v>32237</v>
      </c>
      <c r="D560">
        <v>38</v>
      </c>
      <c r="E560" t="s">
        <v>3643</v>
      </c>
      <c r="F560" s="1" t="s">
        <v>292</v>
      </c>
      <c r="G560" t="s">
        <v>293</v>
      </c>
      <c r="H560" t="s">
        <v>26</v>
      </c>
      <c r="I560" s="1" t="s">
        <v>3644</v>
      </c>
      <c r="J560" s="1" t="s">
        <v>3645</v>
      </c>
      <c r="K560" t="s">
        <v>3646</v>
      </c>
      <c r="L560" t="s">
        <v>3647</v>
      </c>
      <c r="M560" t="s">
        <v>27</v>
      </c>
      <c r="N560" t="s">
        <v>66</v>
      </c>
      <c r="O560" t="s">
        <v>59</v>
      </c>
      <c r="P560" t="s">
        <v>29</v>
      </c>
      <c r="Q560">
        <v>0</v>
      </c>
    </row>
    <row r="561" spans="1:17" x14ac:dyDescent="0.25">
      <c r="A561">
        <v>560</v>
      </c>
      <c r="B561" t="s">
        <v>3648</v>
      </c>
      <c r="C561" s="2">
        <v>39106</v>
      </c>
      <c r="D561">
        <v>19</v>
      </c>
      <c r="E561" t="s">
        <v>3649</v>
      </c>
      <c r="F561" s="1" t="s">
        <v>266</v>
      </c>
      <c r="G561" t="s">
        <v>267</v>
      </c>
      <c r="H561" t="s">
        <v>65</v>
      </c>
      <c r="I561" s="1" t="s">
        <v>3650</v>
      </c>
      <c r="J561" s="1" t="s">
        <v>3651</v>
      </c>
      <c r="K561" t="s">
        <v>3652</v>
      </c>
      <c r="L561" t="s">
        <v>3653</v>
      </c>
      <c r="M561" t="s">
        <v>48</v>
      </c>
      <c r="N561" t="s">
        <v>49</v>
      </c>
      <c r="O561" t="s">
        <v>40</v>
      </c>
      <c r="P561" t="s">
        <v>29</v>
      </c>
      <c r="Q561">
        <v>0</v>
      </c>
    </row>
    <row r="562" spans="1:17" x14ac:dyDescent="0.25">
      <c r="A562">
        <v>561</v>
      </c>
      <c r="B562" t="s">
        <v>3654</v>
      </c>
      <c r="C562" s="2">
        <v>26518</v>
      </c>
      <c r="D562">
        <v>54</v>
      </c>
      <c r="E562" t="s">
        <v>3655</v>
      </c>
      <c r="F562" s="1" t="s">
        <v>237</v>
      </c>
      <c r="G562" t="s">
        <v>238</v>
      </c>
      <c r="H562" t="s">
        <v>19</v>
      </c>
      <c r="I562" s="1" t="s">
        <v>3656</v>
      </c>
      <c r="J562" s="1" t="s">
        <v>3657</v>
      </c>
      <c r="K562" t="s">
        <v>3658</v>
      </c>
      <c r="L562" t="s">
        <v>3659</v>
      </c>
      <c r="M562" t="s">
        <v>48</v>
      </c>
      <c r="N562" t="s">
        <v>39</v>
      </c>
      <c r="O562" t="s">
        <v>40</v>
      </c>
      <c r="P562" t="s">
        <v>29</v>
      </c>
      <c r="Q562">
        <v>0</v>
      </c>
    </row>
    <row r="563" spans="1:17" x14ac:dyDescent="0.25">
      <c r="A563">
        <v>562</v>
      </c>
      <c r="B563" t="s">
        <v>3660</v>
      </c>
      <c r="C563" s="2">
        <v>34655</v>
      </c>
      <c r="D563">
        <v>32</v>
      </c>
      <c r="E563" t="s">
        <v>3661</v>
      </c>
      <c r="F563" s="1" t="s">
        <v>206</v>
      </c>
      <c r="G563" t="s">
        <v>207</v>
      </c>
      <c r="H563" t="s">
        <v>53</v>
      </c>
      <c r="I563" s="1" t="s">
        <v>3662</v>
      </c>
      <c r="J563" s="1" t="s">
        <v>3663</v>
      </c>
      <c r="K563" t="s">
        <v>3664</v>
      </c>
      <c r="L563" t="s">
        <v>3665</v>
      </c>
      <c r="M563" t="s">
        <v>68</v>
      </c>
      <c r="N563" t="s">
        <v>150</v>
      </c>
      <c r="O563" t="s">
        <v>40</v>
      </c>
      <c r="P563" t="s">
        <v>23</v>
      </c>
      <c r="Q563">
        <v>1</v>
      </c>
    </row>
    <row r="564" spans="1:17" x14ac:dyDescent="0.25">
      <c r="A564">
        <v>563</v>
      </c>
      <c r="B564" t="s">
        <v>3666</v>
      </c>
      <c r="C564" s="2">
        <v>28405</v>
      </c>
      <c r="D564">
        <v>49</v>
      </c>
      <c r="E564" t="s">
        <v>3667</v>
      </c>
      <c r="F564" s="1" t="s">
        <v>198</v>
      </c>
      <c r="G564" t="s">
        <v>199</v>
      </c>
      <c r="H564" t="s">
        <v>104</v>
      </c>
      <c r="I564" s="1" t="s">
        <v>3668</v>
      </c>
      <c r="J564" s="1" t="s">
        <v>3669</v>
      </c>
      <c r="K564" t="s">
        <v>3670</v>
      </c>
      <c r="L564" t="s">
        <v>3671</v>
      </c>
      <c r="M564" t="s">
        <v>27</v>
      </c>
      <c r="N564" t="s">
        <v>212</v>
      </c>
      <c r="O564" t="s">
        <v>35</v>
      </c>
      <c r="P564" t="s">
        <v>23</v>
      </c>
      <c r="Q564">
        <v>9</v>
      </c>
    </row>
    <row r="565" spans="1:17" x14ac:dyDescent="0.25">
      <c r="A565">
        <v>564</v>
      </c>
      <c r="B565" t="s">
        <v>3672</v>
      </c>
      <c r="C565" s="2">
        <v>39595</v>
      </c>
      <c r="D565">
        <v>18</v>
      </c>
      <c r="E565" t="s">
        <v>3673</v>
      </c>
      <c r="F565" s="1" t="s">
        <v>176</v>
      </c>
      <c r="G565" t="s">
        <v>177</v>
      </c>
      <c r="H565" t="s">
        <v>43</v>
      </c>
      <c r="I565" s="1" t="s">
        <v>3674</v>
      </c>
      <c r="J565" s="1" t="s">
        <v>3675</v>
      </c>
      <c r="K565" t="s">
        <v>3676</v>
      </c>
      <c r="L565" t="s">
        <v>3677</v>
      </c>
      <c r="M565" t="s">
        <v>20</v>
      </c>
      <c r="N565" t="s">
        <v>28</v>
      </c>
      <c r="O565" t="s">
        <v>50</v>
      </c>
      <c r="P565" t="s">
        <v>23</v>
      </c>
      <c r="Q565">
        <v>1</v>
      </c>
    </row>
    <row r="566" spans="1:17" x14ac:dyDescent="0.25">
      <c r="A566">
        <v>565</v>
      </c>
      <c r="B566" t="s">
        <v>3678</v>
      </c>
      <c r="C566" s="2">
        <v>30020</v>
      </c>
      <c r="D566">
        <v>44</v>
      </c>
      <c r="E566" t="s">
        <v>3679</v>
      </c>
      <c r="F566" s="1" t="s">
        <v>151</v>
      </c>
      <c r="G566" t="s">
        <v>152</v>
      </c>
      <c r="H566" t="s">
        <v>81</v>
      </c>
      <c r="I566" s="1" t="s">
        <v>3680</v>
      </c>
      <c r="J566" s="1" t="s">
        <v>3681</v>
      </c>
      <c r="K566" t="s">
        <v>3682</v>
      </c>
      <c r="L566" t="s">
        <v>3683</v>
      </c>
      <c r="M566" t="s">
        <v>27</v>
      </c>
      <c r="N566" t="s">
        <v>28</v>
      </c>
      <c r="O566" t="s">
        <v>40</v>
      </c>
      <c r="P566" t="s">
        <v>23</v>
      </c>
      <c r="Q566">
        <v>1</v>
      </c>
    </row>
    <row r="567" spans="1:17" x14ac:dyDescent="0.25">
      <c r="A567">
        <v>566</v>
      </c>
      <c r="B567" t="s">
        <v>3684</v>
      </c>
      <c r="C567" s="2">
        <v>36264</v>
      </c>
      <c r="D567">
        <v>27</v>
      </c>
      <c r="E567" t="s">
        <v>3685</v>
      </c>
      <c r="F567" s="1" t="s">
        <v>85</v>
      </c>
      <c r="G567" t="s">
        <v>86</v>
      </c>
      <c r="H567" t="s">
        <v>87</v>
      </c>
      <c r="I567" s="1" t="s">
        <v>3686</v>
      </c>
      <c r="J567" s="1" t="s">
        <v>3687</v>
      </c>
      <c r="K567" t="s">
        <v>3688</v>
      </c>
      <c r="L567" t="s">
        <v>3689</v>
      </c>
      <c r="M567" t="s">
        <v>27</v>
      </c>
      <c r="N567" t="s">
        <v>99</v>
      </c>
      <c r="O567" t="s">
        <v>22</v>
      </c>
      <c r="P567" t="s">
        <v>29</v>
      </c>
      <c r="Q567">
        <v>0</v>
      </c>
    </row>
    <row r="568" spans="1:17" x14ac:dyDescent="0.25">
      <c r="A568">
        <v>567</v>
      </c>
      <c r="B568" t="s">
        <v>3690</v>
      </c>
      <c r="C568" s="2">
        <v>22321</v>
      </c>
      <c r="D568">
        <v>65</v>
      </c>
      <c r="E568" t="s">
        <v>3691</v>
      </c>
      <c r="F568" s="1" t="s">
        <v>111</v>
      </c>
      <c r="G568" t="s">
        <v>112</v>
      </c>
      <c r="H568" t="s">
        <v>113</v>
      </c>
      <c r="I568" s="1" t="s">
        <v>3692</v>
      </c>
      <c r="J568" s="1" t="s">
        <v>3693</v>
      </c>
      <c r="K568" t="s">
        <v>3694</v>
      </c>
      <c r="L568" t="s">
        <v>3695</v>
      </c>
      <c r="M568" t="s">
        <v>33</v>
      </c>
      <c r="N568" t="s">
        <v>67</v>
      </c>
      <c r="O568" t="s">
        <v>40</v>
      </c>
      <c r="P568" t="s">
        <v>23</v>
      </c>
      <c r="Q568">
        <v>1</v>
      </c>
    </row>
    <row r="569" spans="1:17" x14ac:dyDescent="0.25">
      <c r="A569">
        <v>568</v>
      </c>
      <c r="B569" t="s">
        <v>3696</v>
      </c>
      <c r="C569" s="2">
        <v>31331</v>
      </c>
      <c r="D569">
        <v>41</v>
      </c>
      <c r="E569" t="s">
        <v>3697</v>
      </c>
      <c r="F569" s="1" t="s">
        <v>151</v>
      </c>
      <c r="G569" t="s">
        <v>152</v>
      </c>
      <c r="H569" t="s">
        <v>81</v>
      </c>
      <c r="I569" s="1" t="s">
        <v>3698</v>
      </c>
      <c r="J569" s="1" t="s">
        <v>3699</v>
      </c>
      <c r="K569" t="s">
        <v>3700</v>
      </c>
      <c r="L569" t="s">
        <v>3701</v>
      </c>
      <c r="M569" t="s">
        <v>48</v>
      </c>
      <c r="N569" t="s">
        <v>54</v>
      </c>
      <c r="O569" t="s">
        <v>59</v>
      </c>
      <c r="P569" t="s">
        <v>29</v>
      </c>
      <c r="Q569">
        <v>0</v>
      </c>
    </row>
    <row r="570" spans="1:17" x14ac:dyDescent="0.25">
      <c r="A570">
        <v>569</v>
      </c>
      <c r="B570" t="s">
        <v>3702</v>
      </c>
      <c r="C570" s="2">
        <v>30301</v>
      </c>
      <c r="D570">
        <v>44</v>
      </c>
      <c r="E570" t="s">
        <v>3703</v>
      </c>
      <c r="F570" s="1" t="s">
        <v>206</v>
      </c>
      <c r="G570" t="s">
        <v>207</v>
      </c>
      <c r="H570" t="s">
        <v>53</v>
      </c>
      <c r="I570" s="1" t="s">
        <v>3704</v>
      </c>
      <c r="J570" s="1" t="s">
        <v>3705</v>
      </c>
      <c r="K570" t="s">
        <v>3706</v>
      </c>
      <c r="L570" t="s">
        <v>3707</v>
      </c>
      <c r="M570" t="s">
        <v>27</v>
      </c>
      <c r="N570" t="s">
        <v>106</v>
      </c>
      <c r="O570" t="s">
        <v>59</v>
      </c>
      <c r="P570" t="s">
        <v>29</v>
      </c>
      <c r="Q570">
        <v>0</v>
      </c>
    </row>
    <row r="571" spans="1:17" x14ac:dyDescent="0.25">
      <c r="A571">
        <v>570</v>
      </c>
      <c r="B571" t="s">
        <v>3708</v>
      </c>
      <c r="C571" s="2">
        <v>26189</v>
      </c>
      <c r="D571">
        <v>55</v>
      </c>
      <c r="E571" t="s">
        <v>3709</v>
      </c>
      <c r="F571" s="1" t="s">
        <v>189</v>
      </c>
      <c r="G571" t="s">
        <v>190</v>
      </c>
      <c r="H571" t="s">
        <v>91</v>
      </c>
      <c r="I571" s="1" t="s">
        <v>3710</v>
      </c>
      <c r="J571" s="1" t="s">
        <v>3711</v>
      </c>
      <c r="K571" t="s">
        <v>3712</v>
      </c>
      <c r="L571" t="s">
        <v>3713</v>
      </c>
      <c r="M571" t="s">
        <v>68</v>
      </c>
      <c r="N571" t="s">
        <v>66</v>
      </c>
      <c r="O571" t="s">
        <v>35</v>
      </c>
      <c r="P571" t="s">
        <v>23</v>
      </c>
      <c r="Q571">
        <v>1</v>
      </c>
    </row>
    <row r="572" spans="1:17" x14ac:dyDescent="0.25">
      <c r="A572">
        <v>571</v>
      </c>
      <c r="B572" t="s">
        <v>3714</v>
      </c>
      <c r="C572" s="2">
        <v>22588</v>
      </c>
      <c r="D572">
        <v>65</v>
      </c>
      <c r="E572" t="s">
        <v>3715</v>
      </c>
      <c r="F572" s="1" t="s">
        <v>138</v>
      </c>
      <c r="G572" t="s">
        <v>139</v>
      </c>
      <c r="H572" t="s">
        <v>47</v>
      </c>
      <c r="I572" s="1" t="s">
        <v>3716</v>
      </c>
      <c r="J572" s="1" t="s">
        <v>3717</v>
      </c>
      <c r="K572" t="s">
        <v>3718</v>
      </c>
      <c r="L572" t="s">
        <v>3719</v>
      </c>
      <c r="M572" t="s">
        <v>48</v>
      </c>
      <c r="N572" t="s">
        <v>99</v>
      </c>
      <c r="O572" t="s">
        <v>50</v>
      </c>
      <c r="P572" t="s">
        <v>29</v>
      </c>
      <c r="Q572">
        <v>0</v>
      </c>
    </row>
    <row r="573" spans="1:17" x14ac:dyDescent="0.25">
      <c r="A573">
        <v>572</v>
      </c>
      <c r="B573" t="s">
        <v>3720</v>
      </c>
      <c r="C573" s="2">
        <v>37329</v>
      </c>
      <c r="D573">
        <v>24</v>
      </c>
      <c r="E573" t="s">
        <v>3721</v>
      </c>
      <c r="F573" s="1" t="s">
        <v>191</v>
      </c>
      <c r="G573" t="s">
        <v>192</v>
      </c>
      <c r="H573" t="s">
        <v>126</v>
      </c>
      <c r="I573" s="1" t="s">
        <v>3722</v>
      </c>
      <c r="J573" s="1" t="s">
        <v>3723</v>
      </c>
      <c r="K573" t="s">
        <v>3724</v>
      </c>
      <c r="L573" t="s">
        <v>3725</v>
      </c>
      <c r="M573" t="s">
        <v>27</v>
      </c>
      <c r="N573" t="s">
        <v>67</v>
      </c>
      <c r="O573" t="s">
        <v>22</v>
      </c>
      <c r="P573" t="s">
        <v>23</v>
      </c>
      <c r="Q573">
        <v>1</v>
      </c>
    </row>
    <row r="574" spans="1:17" x14ac:dyDescent="0.25">
      <c r="A574">
        <v>573</v>
      </c>
      <c r="B574" t="s">
        <v>3726</v>
      </c>
      <c r="C574" s="2">
        <v>30385</v>
      </c>
      <c r="D574">
        <v>43</v>
      </c>
      <c r="E574" t="s">
        <v>3727</v>
      </c>
      <c r="F574" s="1" t="s">
        <v>258</v>
      </c>
      <c r="G574" t="s">
        <v>259</v>
      </c>
      <c r="H574" t="s">
        <v>257</v>
      </c>
      <c r="I574" s="1" t="s">
        <v>3728</v>
      </c>
      <c r="J574" s="1" t="s">
        <v>3729</v>
      </c>
      <c r="K574" t="s">
        <v>3730</v>
      </c>
      <c r="L574" t="s">
        <v>3731</v>
      </c>
      <c r="M574" t="s">
        <v>27</v>
      </c>
      <c r="N574" t="s">
        <v>34</v>
      </c>
      <c r="O574" t="s">
        <v>40</v>
      </c>
      <c r="P574" t="s">
        <v>29</v>
      </c>
      <c r="Q574">
        <v>0</v>
      </c>
    </row>
    <row r="575" spans="1:17" x14ac:dyDescent="0.25">
      <c r="A575">
        <v>574</v>
      </c>
      <c r="B575" t="s">
        <v>3732</v>
      </c>
      <c r="C575" s="2">
        <v>22880</v>
      </c>
      <c r="D575">
        <v>64</v>
      </c>
      <c r="E575" t="s">
        <v>3733</v>
      </c>
      <c r="F575" s="1" t="s">
        <v>266</v>
      </c>
      <c r="G575" t="s">
        <v>267</v>
      </c>
      <c r="H575" t="s">
        <v>65</v>
      </c>
      <c r="I575" s="1" t="s">
        <v>3734</v>
      </c>
      <c r="J575" s="1" t="s">
        <v>3735</v>
      </c>
      <c r="K575" t="s">
        <v>3736</v>
      </c>
      <c r="L575" t="s">
        <v>3737</v>
      </c>
      <c r="M575" t="s">
        <v>48</v>
      </c>
      <c r="N575" t="s">
        <v>78</v>
      </c>
      <c r="O575" t="s">
        <v>50</v>
      </c>
      <c r="P575" t="s">
        <v>23</v>
      </c>
      <c r="Q575">
        <v>2</v>
      </c>
    </row>
    <row r="576" spans="1:17" x14ac:dyDescent="0.25">
      <c r="A576">
        <v>575</v>
      </c>
      <c r="B576" t="s">
        <v>3738</v>
      </c>
      <c r="C576" s="2">
        <v>26277</v>
      </c>
      <c r="D576">
        <v>55</v>
      </c>
      <c r="E576" t="s">
        <v>3739</v>
      </c>
      <c r="F576" s="1" t="s">
        <v>94</v>
      </c>
      <c r="G576" t="s">
        <v>95</v>
      </c>
      <c r="H576" t="s">
        <v>96</v>
      </c>
      <c r="I576" s="1" t="s">
        <v>3740</v>
      </c>
      <c r="J576" s="1" t="s">
        <v>3741</v>
      </c>
      <c r="K576" t="s">
        <v>3742</v>
      </c>
      <c r="L576" t="s">
        <v>3743</v>
      </c>
      <c r="M576" t="s">
        <v>27</v>
      </c>
      <c r="N576" t="s">
        <v>28</v>
      </c>
      <c r="O576" t="s">
        <v>50</v>
      </c>
      <c r="P576" t="s">
        <v>29</v>
      </c>
      <c r="Q576">
        <v>0</v>
      </c>
    </row>
    <row r="577" spans="1:17" x14ac:dyDescent="0.25">
      <c r="A577">
        <v>576</v>
      </c>
      <c r="B577" t="s">
        <v>3744</v>
      </c>
      <c r="C577" s="2">
        <v>38490</v>
      </c>
      <c r="D577">
        <v>21</v>
      </c>
      <c r="E577" t="s">
        <v>3745</v>
      </c>
      <c r="F577" s="1" t="s">
        <v>268</v>
      </c>
      <c r="G577" t="s">
        <v>269</v>
      </c>
      <c r="H577" t="s">
        <v>257</v>
      </c>
      <c r="I577" s="1" t="s">
        <v>3746</v>
      </c>
      <c r="J577" s="1" t="s">
        <v>3747</v>
      </c>
      <c r="K577" t="s">
        <v>3748</v>
      </c>
      <c r="L577" t="s">
        <v>3749</v>
      </c>
      <c r="M577" t="s">
        <v>27</v>
      </c>
      <c r="N577" t="s">
        <v>82</v>
      </c>
      <c r="O577" t="s">
        <v>50</v>
      </c>
      <c r="P577" t="s">
        <v>23</v>
      </c>
      <c r="Q577">
        <v>6</v>
      </c>
    </row>
    <row r="578" spans="1:17" x14ac:dyDescent="0.25">
      <c r="A578">
        <v>577</v>
      </c>
      <c r="B578" t="s">
        <v>3750</v>
      </c>
      <c r="C578" s="2">
        <v>29105</v>
      </c>
      <c r="D578">
        <v>47</v>
      </c>
      <c r="E578" t="s">
        <v>3751</v>
      </c>
      <c r="F578" s="1" t="s">
        <v>167</v>
      </c>
      <c r="G578" t="s">
        <v>168</v>
      </c>
      <c r="H578" t="s">
        <v>169</v>
      </c>
      <c r="I578" s="1" t="s">
        <v>3752</v>
      </c>
      <c r="J578" s="1" t="s">
        <v>3753</v>
      </c>
      <c r="K578" t="s">
        <v>3754</v>
      </c>
      <c r="L578" t="s">
        <v>3755</v>
      </c>
      <c r="M578" t="s">
        <v>27</v>
      </c>
      <c r="N578" t="s">
        <v>49</v>
      </c>
      <c r="O578" t="s">
        <v>22</v>
      </c>
      <c r="P578" t="s">
        <v>23</v>
      </c>
      <c r="Q578">
        <v>3</v>
      </c>
    </row>
    <row r="579" spans="1:17" x14ac:dyDescent="0.25">
      <c r="A579">
        <v>578</v>
      </c>
      <c r="B579" t="s">
        <v>3756</v>
      </c>
      <c r="C579" s="2">
        <v>27874</v>
      </c>
      <c r="D579">
        <v>50</v>
      </c>
      <c r="E579" t="s">
        <v>3757</v>
      </c>
      <c r="F579" s="1" t="s">
        <v>92</v>
      </c>
      <c r="G579" t="s">
        <v>93</v>
      </c>
      <c r="H579" t="s">
        <v>38</v>
      </c>
      <c r="I579" s="1" t="s">
        <v>3758</v>
      </c>
      <c r="J579" s="1" t="s">
        <v>3759</v>
      </c>
      <c r="K579" t="s">
        <v>3760</v>
      </c>
      <c r="L579" t="s">
        <v>3761</v>
      </c>
      <c r="M579" t="s">
        <v>48</v>
      </c>
      <c r="N579" t="s">
        <v>72</v>
      </c>
      <c r="O579" t="s">
        <v>59</v>
      </c>
      <c r="P579" t="s">
        <v>29</v>
      </c>
      <c r="Q579">
        <v>0</v>
      </c>
    </row>
    <row r="580" spans="1:17" x14ac:dyDescent="0.25">
      <c r="A580">
        <v>579</v>
      </c>
      <c r="B580" t="s">
        <v>3762</v>
      </c>
      <c r="C580" s="2">
        <v>31638</v>
      </c>
      <c r="D580">
        <v>40</v>
      </c>
      <c r="E580" t="s">
        <v>3763</v>
      </c>
      <c r="F580" s="1" t="s">
        <v>276</v>
      </c>
      <c r="G580" t="s">
        <v>277</v>
      </c>
      <c r="H580" t="s">
        <v>38</v>
      </c>
      <c r="I580" s="1" t="s">
        <v>3764</v>
      </c>
      <c r="J580" s="1" t="s">
        <v>3765</v>
      </c>
      <c r="K580" t="s">
        <v>3766</v>
      </c>
      <c r="L580" t="s">
        <v>3767</v>
      </c>
      <c r="M580" t="s">
        <v>48</v>
      </c>
      <c r="N580" t="s">
        <v>54</v>
      </c>
      <c r="O580" t="s">
        <v>22</v>
      </c>
      <c r="P580" t="s">
        <v>23</v>
      </c>
      <c r="Q580">
        <v>1</v>
      </c>
    </row>
    <row r="581" spans="1:17" x14ac:dyDescent="0.25">
      <c r="A581">
        <v>580</v>
      </c>
      <c r="B581" t="s">
        <v>3768</v>
      </c>
      <c r="C581" s="2">
        <v>25362</v>
      </c>
      <c r="D581">
        <v>57</v>
      </c>
      <c r="E581" t="s">
        <v>3769</v>
      </c>
      <c r="F581" s="1" t="s">
        <v>45</v>
      </c>
      <c r="G581" t="s">
        <v>46</v>
      </c>
      <c r="H581" t="s">
        <v>47</v>
      </c>
      <c r="I581" s="1" t="s">
        <v>3770</v>
      </c>
      <c r="J581" s="1" t="s">
        <v>3771</v>
      </c>
      <c r="K581" t="s">
        <v>3772</v>
      </c>
      <c r="L581" t="s">
        <v>3773</v>
      </c>
      <c r="M581" t="s">
        <v>27</v>
      </c>
      <c r="N581" t="s">
        <v>21</v>
      </c>
      <c r="O581" t="s">
        <v>22</v>
      </c>
      <c r="P581" t="s">
        <v>23</v>
      </c>
      <c r="Q581">
        <v>1</v>
      </c>
    </row>
    <row r="582" spans="1:17" x14ac:dyDescent="0.25">
      <c r="A582">
        <v>581</v>
      </c>
      <c r="B582" t="s">
        <v>3774</v>
      </c>
      <c r="C582" s="2">
        <v>31219</v>
      </c>
      <c r="D582">
        <v>41</v>
      </c>
      <c r="E582" t="s">
        <v>3775</v>
      </c>
      <c r="F582" s="1" t="s">
        <v>178</v>
      </c>
      <c r="G582" t="s">
        <v>179</v>
      </c>
      <c r="H582" t="s">
        <v>180</v>
      </c>
      <c r="I582" s="1" t="s">
        <v>3776</v>
      </c>
      <c r="J582" s="1" t="s">
        <v>3777</v>
      </c>
      <c r="K582" t="s">
        <v>3778</v>
      </c>
      <c r="L582" t="s">
        <v>3779</v>
      </c>
      <c r="M582" t="s">
        <v>27</v>
      </c>
      <c r="N582" t="s">
        <v>212</v>
      </c>
      <c r="O582" t="s">
        <v>40</v>
      </c>
      <c r="P582" t="s">
        <v>23</v>
      </c>
      <c r="Q582">
        <v>3</v>
      </c>
    </row>
    <row r="583" spans="1:17" x14ac:dyDescent="0.25">
      <c r="A583">
        <v>582</v>
      </c>
      <c r="B583" t="s">
        <v>3780</v>
      </c>
      <c r="C583" s="2">
        <v>38687</v>
      </c>
      <c r="D583">
        <v>21</v>
      </c>
      <c r="E583" t="s">
        <v>3781</v>
      </c>
      <c r="F583" s="1" t="s">
        <v>151</v>
      </c>
      <c r="G583" t="s">
        <v>152</v>
      </c>
      <c r="H583" t="s">
        <v>81</v>
      </c>
      <c r="I583" s="1" t="s">
        <v>3782</v>
      </c>
      <c r="J583" s="1" t="s">
        <v>3783</v>
      </c>
      <c r="K583" t="s">
        <v>3784</v>
      </c>
      <c r="L583" t="s">
        <v>3785</v>
      </c>
      <c r="M583" t="s">
        <v>48</v>
      </c>
      <c r="N583" t="s">
        <v>212</v>
      </c>
      <c r="O583" t="s">
        <v>59</v>
      </c>
      <c r="P583" t="s">
        <v>23</v>
      </c>
      <c r="Q583">
        <v>2</v>
      </c>
    </row>
    <row r="584" spans="1:17" x14ac:dyDescent="0.25">
      <c r="A584">
        <v>583</v>
      </c>
      <c r="B584" t="s">
        <v>3786</v>
      </c>
      <c r="C584" s="2">
        <v>32550</v>
      </c>
      <c r="D584">
        <v>37</v>
      </c>
      <c r="E584" t="s">
        <v>3787</v>
      </c>
      <c r="F584" s="1" t="s">
        <v>165</v>
      </c>
      <c r="G584" t="s">
        <v>166</v>
      </c>
      <c r="H584" t="s">
        <v>65</v>
      </c>
      <c r="I584" s="1" t="s">
        <v>3788</v>
      </c>
      <c r="J584" s="1" t="s">
        <v>3789</v>
      </c>
      <c r="K584" t="s">
        <v>3790</v>
      </c>
      <c r="L584" t="s">
        <v>3791</v>
      </c>
      <c r="M584" t="s">
        <v>27</v>
      </c>
      <c r="N584" t="s">
        <v>54</v>
      </c>
      <c r="O584" t="s">
        <v>59</v>
      </c>
      <c r="P584" t="s">
        <v>29</v>
      </c>
      <c r="Q584">
        <v>0</v>
      </c>
    </row>
    <row r="585" spans="1:17" x14ac:dyDescent="0.25">
      <c r="A585">
        <v>584</v>
      </c>
      <c r="B585" t="s">
        <v>3792</v>
      </c>
      <c r="C585" s="2">
        <v>23352</v>
      </c>
      <c r="D585">
        <v>63</v>
      </c>
      <c r="E585" t="s">
        <v>3793</v>
      </c>
      <c r="F585" s="1" t="s">
        <v>75</v>
      </c>
      <c r="G585" t="s">
        <v>76</v>
      </c>
      <c r="H585" t="s">
        <v>77</v>
      </c>
      <c r="I585" s="1" t="s">
        <v>3794</v>
      </c>
      <c r="J585" s="1" t="s">
        <v>3795</v>
      </c>
      <c r="K585" t="s">
        <v>3796</v>
      </c>
      <c r="L585" t="s">
        <v>3797</v>
      </c>
      <c r="M585" t="s">
        <v>27</v>
      </c>
      <c r="N585" t="s">
        <v>150</v>
      </c>
      <c r="O585" t="s">
        <v>59</v>
      </c>
      <c r="P585" t="s">
        <v>29</v>
      </c>
      <c r="Q585">
        <v>0</v>
      </c>
    </row>
    <row r="586" spans="1:17" x14ac:dyDescent="0.25">
      <c r="A586">
        <v>585</v>
      </c>
      <c r="B586" t="s">
        <v>3798</v>
      </c>
      <c r="C586" s="2">
        <v>38525</v>
      </c>
      <c r="D586">
        <v>21</v>
      </c>
      <c r="E586" t="s">
        <v>3799</v>
      </c>
      <c r="F586" s="1" t="s">
        <v>140</v>
      </c>
      <c r="G586" t="s">
        <v>141</v>
      </c>
      <c r="H586" t="s">
        <v>110</v>
      </c>
      <c r="I586" s="1" t="s">
        <v>3800</v>
      </c>
      <c r="J586" s="1" t="s">
        <v>3801</v>
      </c>
      <c r="K586" t="s">
        <v>3802</v>
      </c>
      <c r="L586" t="s">
        <v>3803</v>
      </c>
      <c r="M586" t="s">
        <v>27</v>
      </c>
      <c r="N586" t="s">
        <v>78</v>
      </c>
      <c r="O586" t="s">
        <v>59</v>
      </c>
      <c r="P586" t="s">
        <v>29</v>
      </c>
      <c r="Q586">
        <v>0</v>
      </c>
    </row>
    <row r="587" spans="1:17" x14ac:dyDescent="0.25">
      <c r="A587">
        <v>586</v>
      </c>
      <c r="B587" t="s">
        <v>3804</v>
      </c>
      <c r="C587" s="2">
        <v>27094</v>
      </c>
      <c r="D587">
        <v>52</v>
      </c>
      <c r="E587" t="s">
        <v>3805</v>
      </c>
      <c r="F587" s="1" t="s">
        <v>51</v>
      </c>
      <c r="G587" t="s">
        <v>52</v>
      </c>
      <c r="H587" t="s">
        <v>53</v>
      </c>
      <c r="I587" s="1" t="s">
        <v>3806</v>
      </c>
      <c r="J587" s="1" t="s">
        <v>3807</v>
      </c>
      <c r="K587" t="s">
        <v>3808</v>
      </c>
      <c r="L587" t="s">
        <v>3809</v>
      </c>
      <c r="M587" t="s">
        <v>27</v>
      </c>
      <c r="N587" t="s">
        <v>34</v>
      </c>
      <c r="O587" t="s">
        <v>59</v>
      </c>
      <c r="P587" t="s">
        <v>23</v>
      </c>
      <c r="Q587">
        <v>1</v>
      </c>
    </row>
    <row r="588" spans="1:17" x14ac:dyDescent="0.25">
      <c r="A588">
        <v>587</v>
      </c>
      <c r="B588" t="s">
        <v>3810</v>
      </c>
      <c r="C588" s="2">
        <v>23967</v>
      </c>
      <c r="D588">
        <v>61</v>
      </c>
      <c r="E588" t="s">
        <v>3811</v>
      </c>
      <c r="F588" s="1" t="s">
        <v>215</v>
      </c>
      <c r="G588" t="s">
        <v>216</v>
      </c>
      <c r="H588" t="s">
        <v>113</v>
      </c>
      <c r="I588" s="1" t="s">
        <v>3812</v>
      </c>
      <c r="J588" s="1" t="s">
        <v>3813</v>
      </c>
      <c r="K588" t="s">
        <v>3814</v>
      </c>
      <c r="L588" t="s">
        <v>3815</v>
      </c>
      <c r="M588" t="s">
        <v>27</v>
      </c>
      <c r="N588" t="s">
        <v>193</v>
      </c>
      <c r="O588" t="s">
        <v>50</v>
      </c>
      <c r="P588" t="s">
        <v>23</v>
      </c>
      <c r="Q588">
        <v>1</v>
      </c>
    </row>
    <row r="589" spans="1:17" x14ac:dyDescent="0.25">
      <c r="A589">
        <v>588</v>
      </c>
      <c r="B589" t="s">
        <v>3816</v>
      </c>
      <c r="C589" s="2">
        <v>26688</v>
      </c>
      <c r="D589">
        <v>53</v>
      </c>
      <c r="E589" t="s">
        <v>3817</v>
      </c>
      <c r="F589" s="1" t="s">
        <v>170</v>
      </c>
      <c r="G589" t="s">
        <v>171</v>
      </c>
      <c r="H589" t="s">
        <v>57</v>
      </c>
      <c r="I589" s="1" t="s">
        <v>3818</v>
      </c>
      <c r="J589" s="1" t="s">
        <v>3819</v>
      </c>
      <c r="K589" t="s">
        <v>3820</v>
      </c>
      <c r="L589" t="s">
        <v>3821</v>
      </c>
      <c r="M589" t="s">
        <v>27</v>
      </c>
      <c r="N589" t="s">
        <v>39</v>
      </c>
      <c r="O589" t="s">
        <v>22</v>
      </c>
      <c r="P589" t="s">
        <v>23</v>
      </c>
      <c r="Q589">
        <v>2</v>
      </c>
    </row>
    <row r="590" spans="1:17" x14ac:dyDescent="0.25">
      <c r="A590">
        <v>589</v>
      </c>
      <c r="B590" t="s">
        <v>3822</v>
      </c>
      <c r="C590" s="2">
        <v>35539</v>
      </c>
      <c r="D590">
        <v>29</v>
      </c>
      <c r="E590" t="s">
        <v>3823</v>
      </c>
      <c r="F590" s="1" t="s">
        <v>181</v>
      </c>
      <c r="G590" t="s">
        <v>182</v>
      </c>
      <c r="H590" t="s">
        <v>38</v>
      </c>
      <c r="I590" s="1" t="s">
        <v>3824</v>
      </c>
      <c r="J590" s="1" t="s">
        <v>3825</v>
      </c>
      <c r="K590" t="s">
        <v>3826</v>
      </c>
      <c r="L590" t="s">
        <v>3827</v>
      </c>
      <c r="M590" t="s">
        <v>68</v>
      </c>
      <c r="N590" t="s">
        <v>212</v>
      </c>
      <c r="O590" t="s">
        <v>40</v>
      </c>
      <c r="P590" t="s">
        <v>29</v>
      </c>
      <c r="Q590">
        <v>0</v>
      </c>
    </row>
    <row r="591" spans="1:17" x14ac:dyDescent="0.25">
      <c r="A591">
        <v>590</v>
      </c>
      <c r="B591" t="s">
        <v>3828</v>
      </c>
      <c r="C591" s="2">
        <v>32431</v>
      </c>
      <c r="D591">
        <v>38</v>
      </c>
      <c r="E591" t="s">
        <v>3829</v>
      </c>
      <c r="F591" s="1" t="s">
        <v>268</v>
      </c>
      <c r="G591" t="s">
        <v>269</v>
      </c>
      <c r="H591" t="s">
        <v>257</v>
      </c>
      <c r="I591" s="1" t="s">
        <v>3830</v>
      </c>
      <c r="J591" s="1" t="s">
        <v>3831</v>
      </c>
      <c r="K591" t="s">
        <v>3832</v>
      </c>
      <c r="L591" t="s">
        <v>3833</v>
      </c>
      <c r="M591" t="s">
        <v>27</v>
      </c>
      <c r="N591" t="s">
        <v>66</v>
      </c>
      <c r="O591" t="s">
        <v>35</v>
      </c>
      <c r="P591" t="s">
        <v>29</v>
      </c>
      <c r="Q591">
        <v>0</v>
      </c>
    </row>
    <row r="592" spans="1:17" x14ac:dyDescent="0.25">
      <c r="A592">
        <v>591</v>
      </c>
      <c r="B592" t="s">
        <v>3834</v>
      </c>
      <c r="C592" s="2">
        <v>28026</v>
      </c>
      <c r="D592">
        <v>50</v>
      </c>
      <c r="E592" t="s">
        <v>3835</v>
      </c>
      <c r="F592" s="1" t="s">
        <v>228</v>
      </c>
      <c r="G592" t="s">
        <v>229</v>
      </c>
      <c r="H592" t="s">
        <v>126</v>
      </c>
      <c r="I592" s="1" t="s">
        <v>3836</v>
      </c>
      <c r="J592" s="1" t="s">
        <v>3837</v>
      </c>
      <c r="K592" t="s">
        <v>3838</v>
      </c>
      <c r="L592" t="s">
        <v>3839</v>
      </c>
      <c r="M592" t="s">
        <v>48</v>
      </c>
      <c r="N592" t="s">
        <v>78</v>
      </c>
      <c r="O592" t="s">
        <v>40</v>
      </c>
      <c r="P592" t="s">
        <v>29</v>
      </c>
      <c r="Q592">
        <v>0</v>
      </c>
    </row>
    <row r="593" spans="1:17" x14ac:dyDescent="0.25">
      <c r="A593">
        <v>592</v>
      </c>
      <c r="B593" t="s">
        <v>3840</v>
      </c>
      <c r="C593" s="2">
        <v>33021</v>
      </c>
      <c r="D593">
        <v>36</v>
      </c>
      <c r="E593" t="s">
        <v>3841</v>
      </c>
      <c r="F593" s="1" t="s">
        <v>178</v>
      </c>
      <c r="G593" t="s">
        <v>179</v>
      </c>
      <c r="H593" t="s">
        <v>180</v>
      </c>
      <c r="I593" s="1" t="s">
        <v>3842</v>
      </c>
      <c r="J593" s="1" t="s">
        <v>3843</v>
      </c>
      <c r="K593" t="s">
        <v>3844</v>
      </c>
      <c r="L593" t="s">
        <v>3845</v>
      </c>
      <c r="M593" t="s">
        <v>27</v>
      </c>
      <c r="N593" t="s">
        <v>88</v>
      </c>
      <c r="O593" t="s">
        <v>22</v>
      </c>
      <c r="P593" t="s">
        <v>23</v>
      </c>
      <c r="Q593">
        <v>2</v>
      </c>
    </row>
    <row r="594" spans="1:17" x14ac:dyDescent="0.25">
      <c r="A594">
        <v>593</v>
      </c>
      <c r="B594" t="s">
        <v>3846</v>
      </c>
      <c r="C594" s="2">
        <v>26716</v>
      </c>
      <c r="D594">
        <v>53</v>
      </c>
      <c r="E594" t="s">
        <v>3847</v>
      </c>
      <c r="F594" s="1" t="s">
        <v>280</v>
      </c>
      <c r="G594" t="s">
        <v>281</v>
      </c>
      <c r="H594" t="s">
        <v>249</v>
      </c>
      <c r="I594" s="1" t="s">
        <v>3848</v>
      </c>
      <c r="J594" s="1" t="s">
        <v>3849</v>
      </c>
      <c r="K594" t="s">
        <v>3850</v>
      </c>
      <c r="L594" t="s">
        <v>3851</v>
      </c>
      <c r="M594" t="s">
        <v>27</v>
      </c>
      <c r="N594" t="s">
        <v>106</v>
      </c>
      <c r="O594" t="s">
        <v>40</v>
      </c>
      <c r="P594" t="s">
        <v>29</v>
      </c>
      <c r="Q594">
        <v>0</v>
      </c>
    </row>
    <row r="595" spans="1:17" x14ac:dyDescent="0.25">
      <c r="A595">
        <v>594</v>
      </c>
      <c r="B595" t="s">
        <v>3852</v>
      </c>
      <c r="C595" s="2">
        <v>28443</v>
      </c>
      <c r="D595">
        <v>49</v>
      </c>
      <c r="E595" t="s">
        <v>3853</v>
      </c>
      <c r="F595" s="1" t="s">
        <v>217</v>
      </c>
      <c r="G595" t="s">
        <v>218</v>
      </c>
      <c r="H595" t="s">
        <v>53</v>
      </c>
      <c r="I595" s="1" t="s">
        <v>3854</v>
      </c>
      <c r="J595" s="1" t="s">
        <v>3855</v>
      </c>
      <c r="K595" t="s">
        <v>3856</v>
      </c>
      <c r="L595" t="s">
        <v>3857</v>
      </c>
      <c r="M595" t="s">
        <v>27</v>
      </c>
      <c r="N595" t="s">
        <v>34</v>
      </c>
      <c r="O595" t="s">
        <v>40</v>
      </c>
      <c r="P595" t="s">
        <v>23</v>
      </c>
      <c r="Q595">
        <v>1</v>
      </c>
    </row>
    <row r="596" spans="1:17" x14ac:dyDescent="0.25">
      <c r="A596">
        <v>595</v>
      </c>
      <c r="B596" t="s">
        <v>3858</v>
      </c>
      <c r="C596" s="2">
        <v>28531</v>
      </c>
      <c r="D596">
        <v>48</v>
      </c>
      <c r="E596" t="s">
        <v>3859</v>
      </c>
      <c r="F596" s="1" t="s">
        <v>167</v>
      </c>
      <c r="G596" t="s">
        <v>168</v>
      </c>
      <c r="H596" t="s">
        <v>169</v>
      </c>
      <c r="I596" s="1" t="s">
        <v>3860</v>
      </c>
      <c r="J596" s="1" t="s">
        <v>3861</v>
      </c>
      <c r="K596" t="s">
        <v>3862</v>
      </c>
      <c r="L596" t="s">
        <v>3863</v>
      </c>
      <c r="M596" t="s">
        <v>33</v>
      </c>
      <c r="N596" t="s">
        <v>114</v>
      </c>
      <c r="O596" t="s">
        <v>59</v>
      </c>
      <c r="P596" t="s">
        <v>23</v>
      </c>
      <c r="Q596">
        <v>1</v>
      </c>
    </row>
    <row r="597" spans="1:17" x14ac:dyDescent="0.25">
      <c r="A597">
        <v>596</v>
      </c>
      <c r="B597" t="s">
        <v>3864</v>
      </c>
      <c r="C597" s="2">
        <v>23233</v>
      </c>
      <c r="D597">
        <v>63</v>
      </c>
      <c r="E597" t="s">
        <v>3865</v>
      </c>
      <c r="F597" s="1" t="s">
        <v>140</v>
      </c>
      <c r="G597" t="s">
        <v>141</v>
      </c>
      <c r="H597" t="s">
        <v>110</v>
      </c>
      <c r="I597" s="1" t="s">
        <v>3866</v>
      </c>
      <c r="J597" s="1" t="s">
        <v>3867</v>
      </c>
      <c r="K597" t="s">
        <v>3868</v>
      </c>
      <c r="L597" t="s">
        <v>3869</v>
      </c>
      <c r="M597" t="s">
        <v>48</v>
      </c>
      <c r="N597" t="s">
        <v>54</v>
      </c>
      <c r="O597" t="s">
        <v>35</v>
      </c>
      <c r="P597" t="s">
        <v>23</v>
      </c>
      <c r="Q597">
        <v>1</v>
      </c>
    </row>
    <row r="598" spans="1:17" x14ac:dyDescent="0.25">
      <c r="A598">
        <v>597</v>
      </c>
      <c r="B598" t="s">
        <v>3870</v>
      </c>
      <c r="C598" s="2">
        <v>28588</v>
      </c>
      <c r="D598">
        <v>48</v>
      </c>
      <c r="E598" t="s">
        <v>3871</v>
      </c>
      <c r="F598" s="1" t="s">
        <v>288</v>
      </c>
      <c r="G598" t="s">
        <v>289</v>
      </c>
      <c r="H598" t="s">
        <v>87</v>
      </c>
      <c r="I598" s="1" t="s">
        <v>3872</v>
      </c>
      <c r="J598" s="1" t="s">
        <v>3873</v>
      </c>
      <c r="K598" t="s">
        <v>3874</v>
      </c>
      <c r="L598" t="s">
        <v>3875</v>
      </c>
      <c r="M598" t="s">
        <v>48</v>
      </c>
      <c r="N598" t="s">
        <v>49</v>
      </c>
      <c r="O598" t="s">
        <v>40</v>
      </c>
      <c r="P598" t="s">
        <v>23</v>
      </c>
      <c r="Q598">
        <v>1</v>
      </c>
    </row>
    <row r="599" spans="1:17" x14ac:dyDescent="0.25">
      <c r="A599">
        <v>598</v>
      </c>
      <c r="B599" t="s">
        <v>3876</v>
      </c>
      <c r="C599" s="2">
        <v>28217</v>
      </c>
      <c r="D599">
        <v>49</v>
      </c>
      <c r="E599" t="s">
        <v>3877</v>
      </c>
      <c r="F599" s="1" t="s">
        <v>157</v>
      </c>
      <c r="G599" t="s">
        <v>158</v>
      </c>
      <c r="H599" t="s">
        <v>71</v>
      </c>
      <c r="I599" s="1" t="s">
        <v>3878</v>
      </c>
      <c r="J599" s="1" t="s">
        <v>3879</v>
      </c>
      <c r="K599" t="s">
        <v>3880</v>
      </c>
      <c r="L599" t="s">
        <v>3881</v>
      </c>
      <c r="M599" t="s">
        <v>27</v>
      </c>
      <c r="N599" t="s">
        <v>39</v>
      </c>
      <c r="O599" t="s">
        <v>59</v>
      </c>
      <c r="P599" t="s">
        <v>23</v>
      </c>
      <c r="Q599">
        <v>3</v>
      </c>
    </row>
    <row r="600" spans="1:17" x14ac:dyDescent="0.25">
      <c r="A600">
        <v>599</v>
      </c>
      <c r="B600" t="s">
        <v>3882</v>
      </c>
      <c r="C600" s="2">
        <v>26996</v>
      </c>
      <c r="D600">
        <v>53</v>
      </c>
      <c r="E600" t="s">
        <v>3883</v>
      </c>
      <c r="F600" s="1" t="s">
        <v>92</v>
      </c>
      <c r="G600" t="s">
        <v>93</v>
      </c>
      <c r="H600" t="s">
        <v>38</v>
      </c>
      <c r="I600" s="1" t="s">
        <v>3884</v>
      </c>
      <c r="J600" s="1" t="s">
        <v>3885</v>
      </c>
      <c r="K600" t="s">
        <v>3886</v>
      </c>
      <c r="L600" t="s">
        <v>3887</v>
      </c>
      <c r="M600" t="s">
        <v>48</v>
      </c>
      <c r="N600" t="s">
        <v>21</v>
      </c>
      <c r="O600" t="s">
        <v>50</v>
      </c>
      <c r="P600" t="s">
        <v>29</v>
      </c>
      <c r="Q600">
        <v>0</v>
      </c>
    </row>
    <row r="601" spans="1:17" x14ac:dyDescent="0.25">
      <c r="A601">
        <v>600</v>
      </c>
      <c r="B601" t="s">
        <v>3888</v>
      </c>
      <c r="C601" s="2">
        <v>37200</v>
      </c>
      <c r="D601">
        <v>25</v>
      </c>
      <c r="E601" t="s">
        <v>3889</v>
      </c>
      <c r="F601" s="1" t="s">
        <v>237</v>
      </c>
      <c r="G601" t="s">
        <v>238</v>
      </c>
      <c r="H601" t="s">
        <v>19</v>
      </c>
      <c r="I601" s="1" t="s">
        <v>3890</v>
      </c>
      <c r="J601" s="1" t="s">
        <v>3891</v>
      </c>
      <c r="K601" t="s">
        <v>3892</v>
      </c>
      <c r="L601" t="s">
        <v>3893</v>
      </c>
      <c r="M601" t="s">
        <v>27</v>
      </c>
      <c r="N601" t="s">
        <v>49</v>
      </c>
      <c r="O601" t="s">
        <v>22</v>
      </c>
      <c r="P601" t="s">
        <v>29</v>
      </c>
      <c r="Q601">
        <v>0</v>
      </c>
    </row>
    <row r="602" spans="1:17" x14ac:dyDescent="0.25">
      <c r="A602">
        <v>601</v>
      </c>
      <c r="B602" t="s">
        <v>3894</v>
      </c>
      <c r="C602" s="2">
        <v>33857</v>
      </c>
      <c r="D602">
        <v>34</v>
      </c>
      <c r="E602" t="s">
        <v>3895</v>
      </c>
      <c r="F602" s="1" t="s">
        <v>276</v>
      </c>
      <c r="G602" t="s">
        <v>277</v>
      </c>
      <c r="H602" t="s">
        <v>38</v>
      </c>
      <c r="I602" s="1" t="s">
        <v>3896</v>
      </c>
      <c r="J602" s="1" t="s">
        <v>3897</v>
      </c>
      <c r="K602" t="s">
        <v>3898</v>
      </c>
      <c r="L602" t="s">
        <v>3899</v>
      </c>
      <c r="M602" t="s">
        <v>27</v>
      </c>
      <c r="N602" t="s">
        <v>67</v>
      </c>
      <c r="O602" t="s">
        <v>59</v>
      </c>
      <c r="P602" t="s">
        <v>23</v>
      </c>
      <c r="Q602">
        <v>1</v>
      </c>
    </row>
    <row r="603" spans="1:17" x14ac:dyDescent="0.25">
      <c r="A603">
        <v>602</v>
      </c>
      <c r="B603" t="s">
        <v>3900</v>
      </c>
      <c r="C603" s="2">
        <v>23454</v>
      </c>
      <c r="D603">
        <v>62</v>
      </c>
      <c r="E603" t="s">
        <v>3901</v>
      </c>
      <c r="F603" s="1" t="s">
        <v>258</v>
      </c>
      <c r="G603" t="s">
        <v>259</v>
      </c>
      <c r="H603" t="s">
        <v>257</v>
      </c>
      <c r="I603" s="1" t="s">
        <v>3902</v>
      </c>
      <c r="J603" s="1" t="s">
        <v>3903</v>
      </c>
      <c r="K603" t="s">
        <v>3904</v>
      </c>
      <c r="L603" t="s">
        <v>3905</v>
      </c>
      <c r="M603" t="s">
        <v>48</v>
      </c>
      <c r="N603" t="s">
        <v>58</v>
      </c>
      <c r="O603" t="s">
        <v>59</v>
      </c>
      <c r="P603" t="s">
        <v>23</v>
      </c>
      <c r="Q603">
        <v>1</v>
      </c>
    </row>
    <row r="604" spans="1:17" x14ac:dyDescent="0.25">
      <c r="A604">
        <v>603</v>
      </c>
      <c r="B604" t="s">
        <v>3906</v>
      </c>
      <c r="C604" s="2">
        <v>37450</v>
      </c>
      <c r="D604">
        <v>24</v>
      </c>
      <c r="E604" t="s">
        <v>3907</v>
      </c>
      <c r="F604" s="1" t="s">
        <v>183</v>
      </c>
      <c r="G604" t="s">
        <v>184</v>
      </c>
      <c r="H604" t="s">
        <v>169</v>
      </c>
      <c r="I604" s="1" t="s">
        <v>3908</v>
      </c>
      <c r="J604" s="1" t="s">
        <v>3909</v>
      </c>
      <c r="K604" t="s">
        <v>3910</v>
      </c>
      <c r="L604" t="s">
        <v>3911</v>
      </c>
      <c r="M604" t="s">
        <v>27</v>
      </c>
      <c r="N604" t="s">
        <v>21</v>
      </c>
      <c r="O604" t="s">
        <v>22</v>
      </c>
      <c r="P604" t="s">
        <v>29</v>
      </c>
      <c r="Q604">
        <v>0</v>
      </c>
    </row>
    <row r="605" spans="1:17" x14ac:dyDescent="0.25">
      <c r="A605">
        <v>604</v>
      </c>
      <c r="B605" t="s">
        <v>3912</v>
      </c>
      <c r="C605" s="2">
        <v>32548</v>
      </c>
      <c r="D605">
        <v>37</v>
      </c>
      <c r="E605" t="s">
        <v>3913</v>
      </c>
      <c r="F605" s="1" t="s">
        <v>290</v>
      </c>
      <c r="G605" t="s">
        <v>291</v>
      </c>
      <c r="H605" t="s">
        <v>249</v>
      </c>
      <c r="I605" s="1" t="s">
        <v>3914</v>
      </c>
      <c r="J605" s="1" t="s">
        <v>3915</v>
      </c>
      <c r="K605" t="s">
        <v>3916</v>
      </c>
      <c r="L605" t="s">
        <v>3917</v>
      </c>
      <c r="M605" t="s">
        <v>27</v>
      </c>
      <c r="N605" t="s">
        <v>21</v>
      </c>
      <c r="O605" t="s">
        <v>22</v>
      </c>
      <c r="P605" t="s">
        <v>23</v>
      </c>
      <c r="Q605">
        <v>1</v>
      </c>
    </row>
    <row r="606" spans="1:17" x14ac:dyDescent="0.25">
      <c r="A606">
        <v>605</v>
      </c>
      <c r="B606" t="s">
        <v>3918</v>
      </c>
      <c r="C606" s="2">
        <v>31953</v>
      </c>
      <c r="D606">
        <v>39</v>
      </c>
      <c r="E606" t="s">
        <v>3919</v>
      </c>
      <c r="F606" s="1" t="s">
        <v>232</v>
      </c>
      <c r="G606" t="s">
        <v>233</v>
      </c>
      <c r="H606" t="s">
        <v>19</v>
      </c>
      <c r="I606" s="1" t="s">
        <v>3920</v>
      </c>
      <c r="J606" s="1" t="s">
        <v>3921</v>
      </c>
      <c r="K606" t="s">
        <v>3922</v>
      </c>
      <c r="L606" t="s">
        <v>3923</v>
      </c>
      <c r="M606" t="s">
        <v>27</v>
      </c>
      <c r="N606" t="s">
        <v>212</v>
      </c>
      <c r="O606" t="s">
        <v>35</v>
      </c>
      <c r="P606" t="s">
        <v>29</v>
      </c>
      <c r="Q606">
        <v>0</v>
      </c>
    </row>
    <row r="607" spans="1:17" x14ac:dyDescent="0.25">
      <c r="A607">
        <v>606</v>
      </c>
      <c r="B607" t="s">
        <v>3924</v>
      </c>
      <c r="C607" s="2">
        <v>35354</v>
      </c>
      <c r="D607">
        <v>30</v>
      </c>
      <c r="E607" t="s">
        <v>3925</v>
      </c>
      <c r="F607" s="1" t="s">
        <v>234</v>
      </c>
      <c r="G607" t="s">
        <v>235</v>
      </c>
      <c r="H607" t="s">
        <v>236</v>
      </c>
      <c r="I607" s="1" t="s">
        <v>3926</v>
      </c>
      <c r="J607" s="1" t="s">
        <v>3927</v>
      </c>
      <c r="K607" t="s">
        <v>3928</v>
      </c>
      <c r="L607" t="s">
        <v>3929</v>
      </c>
      <c r="M607" t="s">
        <v>27</v>
      </c>
      <c r="N607" t="s">
        <v>66</v>
      </c>
      <c r="O607" t="s">
        <v>35</v>
      </c>
      <c r="P607" t="s">
        <v>23</v>
      </c>
      <c r="Q607">
        <v>6</v>
      </c>
    </row>
    <row r="608" spans="1:17" x14ac:dyDescent="0.25">
      <c r="A608">
        <v>607</v>
      </c>
      <c r="B608" t="s">
        <v>3930</v>
      </c>
      <c r="C608" s="2">
        <v>34532</v>
      </c>
      <c r="D608">
        <v>32</v>
      </c>
      <c r="E608" t="s">
        <v>3931</v>
      </c>
      <c r="F608" s="1" t="s">
        <v>234</v>
      </c>
      <c r="G608" t="s">
        <v>235</v>
      </c>
      <c r="H608" t="s">
        <v>236</v>
      </c>
      <c r="I608" s="1" t="s">
        <v>3932</v>
      </c>
      <c r="J608" s="1" t="s">
        <v>3933</v>
      </c>
      <c r="K608" t="s">
        <v>3934</v>
      </c>
      <c r="L608" t="s">
        <v>3935</v>
      </c>
      <c r="M608" t="s">
        <v>27</v>
      </c>
      <c r="N608" t="s">
        <v>21</v>
      </c>
      <c r="O608" t="s">
        <v>59</v>
      </c>
      <c r="P608" t="s">
        <v>23</v>
      </c>
      <c r="Q608">
        <v>14</v>
      </c>
    </row>
    <row r="609" spans="1:17" x14ac:dyDescent="0.25">
      <c r="A609">
        <v>608</v>
      </c>
      <c r="B609" t="s">
        <v>3936</v>
      </c>
      <c r="C609" s="2">
        <v>30988</v>
      </c>
      <c r="D609">
        <v>42</v>
      </c>
      <c r="E609" t="s">
        <v>3937</v>
      </c>
      <c r="F609" s="1" t="s">
        <v>284</v>
      </c>
      <c r="G609" t="s">
        <v>285</v>
      </c>
      <c r="H609" t="s">
        <v>104</v>
      </c>
      <c r="I609" s="1" t="s">
        <v>3938</v>
      </c>
      <c r="J609" s="1" t="s">
        <v>3939</v>
      </c>
      <c r="K609" t="s">
        <v>3940</v>
      </c>
      <c r="L609" t="s">
        <v>3941</v>
      </c>
      <c r="M609" t="s">
        <v>27</v>
      </c>
      <c r="N609" t="s">
        <v>39</v>
      </c>
      <c r="O609" t="s">
        <v>50</v>
      </c>
      <c r="P609" t="s">
        <v>29</v>
      </c>
      <c r="Q609">
        <v>0</v>
      </c>
    </row>
    <row r="610" spans="1:17" x14ac:dyDescent="0.25">
      <c r="A610">
        <v>609</v>
      </c>
      <c r="B610" t="s">
        <v>3942</v>
      </c>
      <c r="C610" s="2">
        <v>37553</v>
      </c>
      <c r="D610">
        <v>24</v>
      </c>
      <c r="E610" t="s">
        <v>3943</v>
      </c>
      <c r="F610" s="1" t="s">
        <v>178</v>
      </c>
      <c r="G610" t="s">
        <v>179</v>
      </c>
      <c r="H610" t="s">
        <v>180</v>
      </c>
      <c r="I610" s="1" t="s">
        <v>3944</v>
      </c>
      <c r="J610" s="1" t="s">
        <v>3945</v>
      </c>
      <c r="K610" t="s">
        <v>3946</v>
      </c>
      <c r="L610" t="s">
        <v>3947</v>
      </c>
      <c r="M610" t="s">
        <v>27</v>
      </c>
      <c r="N610" t="s">
        <v>44</v>
      </c>
      <c r="O610" t="s">
        <v>40</v>
      </c>
      <c r="P610" t="s">
        <v>23</v>
      </c>
      <c r="Q610">
        <v>1</v>
      </c>
    </row>
    <row r="611" spans="1:17" x14ac:dyDescent="0.25">
      <c r="A611">
        <v>610</v>
      </c>
      <c r="B611" t="s">
        <v>3948</v>
      </c>
      <c r="C611" s="2">
        <v>23765</v>
      </c>
      <c r="D611">
        <v>61</v>
      </c>
      <c r="E611" t="s">
        <v>3949</v>
      </c>
      <c r="F611" s="1" t="s">
        <v>133</v>
      </c>
      <c r="G611" t="s">
        <v>134</v>
      </c>
      <c r="H611" t="s">
        <v>135</v>
      </c>
      <c r="I611" s="1" t="s">
        <v>3950</v>
      </c>
      <c r="J611" s="1" t="s">
        <v>3951</v>
      </c>
      <c r="K611" t="s">
        <v>3952</v>
      </c>
      <c r="L611" t="s">
        <v>3953</v>
      </c>
      <c r="M611" t="s">
        <v>48</v>
      </c>
      <c r="N611" t="s">
        <v>67</v>
      </c>
      <c r="O611" t="s">
        <v>59</v>
      </c>
      <c r="P611" t="s">
        <v>23</v>
      </c>
      <c r="Q611">
        <v>1</v>
      </c>
    </row>
    <row r="612" spans="1:17" x14ac:dyDescent="0.25">
      <c r="A612">
        <v>611</v>
      </c>
      <c r="B612" t="s">
        <v>3954</v>
      </c>
      <c r="C612" s="2">
        <v>28363</v>
      </c>
      <c r="D612">
        <v>49</v>
      </c>
      <c r="E612" t="s">
        <v>3955</v>
      </c>
      <c r="F612" s="1" t="s">
        <v>163</v>
      </c>
      <c r="G612" t="s">
        <v>164</v>
      </c>
      <c r="H612" t="s">
        <v>32</v>
      </c>
      <c r="I612" s="1" t="s">
        <v>3956</v>
      </c>
      <c r="J612" s="1" t="s">
        <v>3957</v>
      </c>
      <c r="K612" t="s">
        <v>3958</v>
      </c>
      <c r="L612" t="s">
        <v>3959</v>
      </c>
      <c r="M612" t="s">
        <v>27</v>
      </c>
      <c r="N612" t="s">
        <v>39</v>
      </c>
      <c r="O612" t="s">
        <v>40</v>
      </c>
      <c r="P612" t="s">
        <v>23</v>
      </c>
      <c r="Q612">
        <v>4</v>
      </c>
    </row>
    <row r="613" spans="1:17" x14ac:dyDescent="0.25">
      <c r="A613">
        <v>612</v>
      </c>
      <c r="B613" t="s">
        <v>3960</v>
      </c>
      <c r="C613" s="2">
        <v>30661</v>
      </c>
      <c r="D613">
        <v>43</v>
      </c>
      <c r="E613" t="s">
        <v>3961</v>
      </c>
      <c r="F613" s="1" t="s">
        <v>183</v>
      </c>
      <c r="G613" t="s">
        <v>184</v>
      </c>
      <c r="H613" t="s">
        <v>169</v>
      </c>
      <c r="I613" s="1" t="s">
        <v>3962</v>
      </c>
      <c r="J613" s="1" t="s">
        <v>3963</v>
      </c>
      <c r="K613" t="s">
        <v>3964</v>
      </c>
      <c r="L613" t="s">
        <v>3965</v>
      </c>
      <c r="M613" t="s">
        <v>27</v>
      </c>
      <c r="N613" t="s">
        <v>78</v>
      </c>
      <c r="O613" t="s">
        <v>22</v>
      </c>
      <c r="P613" t="s">
        <v>23</v>
      </c>
      <c r="Q613">
        <v>1</v>
      </c>
    </row>
    <row r="614" spans="1:17" x14ac:dyDescent="0.25">
      <c r="A614">
        <v>613</v>
      </c>
      <c r="B614" t="s">
        <v>3966</v>
      </c>
      <c r="C614" s="2">
        <v>28369</v>
      </c>
      <c r="D614">
        <v>49</v>
      </c>
      <c r="E614" t="s">
        <v>3967</v>
      </c>
      <c r="F614" s="1" t="s">
        <v>157</v>
      </c>
      <c r="G614" t="s">
        <v>158</v>
      </c>
      <c r="H614" t="s">
        <v>71</v>
      </c>
      <c r="I614" s="1" t="s">
        <v>3968</v>
      </c>
      <c r="J614" s="1" t="s">
        <v>3969</v>
      </c>
      <c r="K614" t="s">
        <v>3970</v>
      </c>
      <c r="L614" t="s">
        <v>3971</v>
      </c>
      <c r="M614" t="s">
        <v>33</v>
      </c>
      <c r="N614" t="s">
        <v>150</v>
      </c>
      <c r="O614" t="s">
        <v>59</v>
      </c>
      <c r="P614" t="s">
        <v>29</v>
      </c>
      <c r="Q614">
        <v>0</v>
      </c>
    </row>
    <row r="615" spans="1:17" x14ac:dyDescent="0.25">
      <c r="A615">
        <v>614</v>
      </c>
      <c r="B615" t="s">
        <v>3972</v>
      </c>
      <c r="C615" s="2">
        <v>37313</v>
      </c>
      <c r="D615">
        <v>24</v>
      </c>
      <c r="E615" t="s">
        <v>3973</v>
      </c>
      <c r="F615" s="1" t="s">
        <v>254</v>
      </c>
      <c r="G615" t="s">
        <v>105</v>
      </c>
      <c r="H615" t="s">
        <v>96</v>
      </c>
      <c r="I615" s="1" t="s">
        <v>3974</v>
      </c>
      <c r="J615" s="1" t="s">
        <v>3975</v>
      </c>
      <c r="K615" t="s">
        <v>3976</v>
      </c>
      <c r="L615" t="s">
        <v>3977</v>
      </c>
      <c r="M615" t="s">
        <v>27</v>
      </c>
      <c r="N615" t="s">
        <v>34</v>
      </c>
      <c r="O615" t="s">
        <v>59</v>
      </c>
      <c r="P615" t="s">
        <v>29</v>
      </c>
      <c r="Q615">
        <v>0</v>
      </c>
    </row>
    <row r="616" spans="1:17" x14ac:dyDescent="0.25">
      <c r="A616">
        <v>615</v>
      </c>
      <c r="B616" t="s">
        <v>3978</v>
      </c>
      <c r="C616" s="2">
        <v>24999</v>
      </c>
      <c r="D616">
        <v>58</v>
      </c>
      <c r="E616" t="s">
        <v>3979</v>
      </c>
      <c r="F616" s="1" t="s">
        <v>170</v>
      </c>
      <c r="G616" t="s">
        <v>171</v>
      </c>
      <c r="H616" t="s">
        <v>57</v>
      </c>
      <c r="I616" s="1" t="s">
        <v>3980</v>
      </c>
      <c r="J616" s="1" t="s">
        <v>3981</v>
      </c>
      <c r="K616" t="s">
        <v>3982</v>
      </c>
      <c r="L616" t="s">
        <v>3983</v>
      </c>
      <c r="M616" t="s">
        <v>33</v>
      </c>
      <c r="N616" t="s">
        <v>212</v>
      </c>
      <c r="O616" t="s">
        <v>50</v>
      </c>
      <c r="P616" t="s">
        <v>29</v>
      </c>
      <c r="Q616">
        <v>0</v>
      </c>
    </row>
    <row r="617" spans="1:17" x14ac:dyDescent="0.25">
      <c r="A617">
        <v>616</v>
      </c>
      <c r="B617" t="s">
        <v>3984</v>
      </c>
      <c r="C617" s="2">
        <v>25243</v>
      </c>
      <c r="D617">
        <v>57</v>
      </c>
      <c r="E617" t="s">
        <v>3985</v>
      </c>
      <c r="F617" s="1" t="s">
        <v>187</v>
      </c>
      <c r="G617" t="s">
        <v>188</v>
      </c>
      <c r="H617" t="s">
        <v>110</v>
      </c>
      <c r="I617" s="1" t="s">
        <v>3986</v>
      </c>
      <c r="J617" s="1" t="s">
        <v>3987</v>
      </c>
      <c r="K617" t="s">
        <v>3988</v>
      </c>
      <c r="L617" t="s">
        <v>3989</v>
      </c>
      <c r="M617" t="s">
        <v>48</v>
      </c>
      <c r="N617" t="s">
        <v>21</v>
      </c>
      <c r="O617" t="s">
        <v>59</v>
      </c>
      <c r="P617" t="s">
        <v>23</v>
      </c>
      <c r="Q617">
        <v>2</v>
      </c>
    </row>
    <row r="618" spans="1:17" x14ac:dyDescent="0.25">
      <c r="A618">
        <v>617</v>
      </c>
      <c r="B618" t="s">
        <v>3990</v>
      </c>
      <c r="C618" s="2">
        <v>24066</v>
      </c>
      <c r="D618">
        <v>61</v>
      </c>
      <c r="E618" t="s">
        <v>3991</v>
      </c>
      <c r="F618" s="1" t="s">
        <v>213</v>
      </c>
      <c r="G618" t="s">
        <v>214</v>
      </c>
      <c r="H618" t="s">
        <v>119</v>
      </c>
      <c r="I618" s="1" t="s">
        <v>3992</v>
      </c>
      <c r="J618" s="1" t="s">
        <v>3993</v>
      </c>
      <c r="K618" t="s">
        <v>3994</v>
      </c>
      <c r="L618" t="s">
        <v>3995</v>
      </c>
      <c r="M618" t="s">
        <v>27</v>
      </c>
      <c r="N618" t="s">
        <v>88</v>
      </c>
      <c r="O618" t="s">
        <v>35</v>
      </c>
      <c r="P618" t="s">
        <v>29</v>
      </c>
      <c r="Q618">
        <v>0</v>
      </c>
    </row>
    <row r="619" spans="1:17" x14ac:dyDescent="0.25">
      <c r="A619">
        <v>618</v>
      </c>
      <c r="B619" t="s">
        <v>3996</v>
      </c>
      <c r="C619" s="2">
        <v>36048</v>
      </c>
      <c r="D619">
        <v>28</v>
      </c>
      <c r="E619" t="s">
        <v>3997</v>
      </c>
      <c r="F619" s="1" t="s">
        <v>148</v>
      </c>
      <c r="G619" t="s">
        <v>149</v>
      </c>
      <c r="H619" t="s">
        <v>71</v>
      </c>
      <c r="I619" s="1" t="s">
        <v>3998</v>
      </c>
      <c r="J619" s="1" t="s">
        <v>3999</v>
      </c>
      <c r="K619" t="s">
        <v>4000</v>
      </c>
      <c r="L619" t="s">
        <v>4001</v>
      </c>
      <c r="M619" t="s">
        <v>27</v>
      </c>
      <c r="N619" t="s">
        <v>39</v>
      </c>
      <c r="O619" t="s">
        <v>40</v>
      </c>
      <c r="P619" t="s">
        <v>23</v>
      </c>
      <c r="Q619">
        <v>1</v>
      </c>
    </row>
    <row r="620" spans="1:17" x14ac:dyDescent="0.25">
      <c r="A620">
        <v>619</v>
      </c>
      <c r="B620" t="s">
        <v>4002</v>
      </c>
      <c r="C620" s="2">
        <v>28329</v>
      </c>
      <c r="D620">
        <v>49</v>
      </c>
      <c r="E620" t="s">
        <v>4003</v>
      </c>
      <c r="F620" s="1" t="s">
        <v>108</v>
      </c>
      <c r="G620" t="s">
        <v>109</v>
      </c>
      <c r="H620" t="s">
        <v>110</v>
      </c>
      <c r="I620" s="1" t="s">
        <v>4004</v>
      </c>
      <c r="J620" s="1" t="s">
        <v>4005</v>
      </c>
      <c r="K620" t="s">
        <v>4006</v>
      </c>
      <c r="L620" t="s">
        <v>4007</v>
      </c>
      <c r="M620" t="s">
        <v>27</v>
      </c>
      <c r="N620" t="s">
        <v>21</v>
      </c>
      <c r="O620" t="s">
        <v>22</v>
      </c>
      <c r="P620" t="s">
        <v>23</v>
      </c>
      <c r="Q620">
        <v>1</v>
      </c>
    </row>
    <row r="621" spans="1:17" x14ac:dyDescent="0.25">
      <c r="A621">
        <v>620</v>
      </c>
      <c r="B621" t="s">
        <v>4008</v>
      </c>
      <c r="C621" s="2">
        <v>38622</v>
      </c>
      <c r="D621">
        <v>21</v>
      </c>
      <c r="E621" t="s">
        <v>4009</v>
      </c>
      <c r="F621" s="1" t="s">
        <v>108</v>
      </c>
      <c r="G621" t="s">
        <v>109</v>
      </c>
      <c r="H621" t="s">
        <v>110</v>
      </c>
      <c r="I621" s="1" t="s">
        <v>4010</v>
      </c>
      <c r="J621" s="1" t="s">
        <v>4011</v>
      </c>
      <c r="K621" t="s">
        <v>4012</v>
      </c>
      <c r="L621" t="s">
        <v>4013</v>
      </c>
      <c r="M621" t="s">
        <v>27</v>
      </c>
      <c r="N621" t="s">
        <v>193</v>
      </c>
      <c r="O621" t="s">
        <v>22</v>
      </c>
      <c r="P621" t="s">
        <v>29</v>
      </c>
      <c r="Q621">
        <v>0</v>
      </c>
    </row>
    <row r="622" spans="1:17" x14ac:dyDescent="0.25">
      <c r="A622">
        <v>621</v>
      </c>
      <c r="B622" t="s">
        <v>4014</v>
      </c>
      <c r="C622" s="2">
        <v>24452</v>
      </c>
      <c r="D622">
        <v>60</v>
      </c>
      <c r="E622" t="s">
        <v>4015</v>
      </c>
      <c r="F622" s="1" t="s">
        <v>157</v>
      </c>
      <c r="G622" t="s">
        <v>158</v>
      </c>
      <c r="H622" t="s">
        <v>71</v>
      </c>
      <c r="I622" s="1" t="s">
        <v>4016</v>
      </c>
      <c r="J622" s="1" t="s">
        <v>4017</v>
      </c>
      <c r="K622" t="s">
        <v>4018</v>
      </c>
      <c r="L622" t="s">
        <v>4019</v>
      </c>
      <c r="M622" t="s">
        <v>68</v>
      </c>
      <c r="N622" t="s">
        <v>66</v>
      </c>
      <c r="O622" t="s">
        <v>59</v>
      </c>
      <c r="P622" t="s">
        <v>29</v>
      </c>
      <c r="Q622">
        <v>0</v>
      </c>
    </row>
    <row r="623" spans="1:17" x14ac:dyDescent="0.25">
      <c r="A623">
        <v>622</v>
      </c>
      <c r="B623" t="s">
        <v>4020</v>
      </c>
      <c r="C623" s="2">
        <v>39484</v>
      </c>
      <c r="D623">
        <v>18</v>
      </c>
      <c r="E623" t="s">
        <v>4021</v>
      </c>
      <c r="F623" s="1" t="s">
        <v>155</v>
      </c>
      <c r="G623" t="s">
        <v>156</v>
      </c>
      <c r="H623" t="s">
        <v>126</v>
      </c>
      <c r="I623" s="1" t="s">
        <v>4022</v>
      </c>
      <c r="J623" s="1" t="s">
        <v>4023</v>
      </c>
      <c r="K623" t="s">
        <v>4024</v>
      </c>
      <c r="L623" t="s">
        <v>4025</v>
      </c>
      <c r="M623" t="s">
        <v>27</v>
      </c>
      <c r="N623" t="s">
        <v>21</v>
      </c>
      <c r="O623" t="s">
        <v>22</v>
      </c>
      <c r="P623" t="s">
        <v>23</v>
      </c>
      <c r="Q623">
        <v>1</v>
      </c>
    </row>
    <row r="624" spans="1:17" x14ac:dyDescent="0.25">
      <c r="A624">
        <v>623</v>
      </c>
      <c r="B624" t="s">
        <v>4026</v>
      </c>
      <c r="C624" s="2">
        <v>28904</v>
      </c>
      <c r="D624">
        <v>47</v>
      </c>
      <c r="E624" t="s">
        <v>4027</v>
      </c>
      <c r="F624" s="1" t="s">
        <v>280</v>
      </c>
      <c r="G624" t="s">
        <v>281</v>
      </c>
      <c r="H624" t="s">
        <v>249</v>
      </c>
      <c r="I624" s="1" t="s">
        <v>4028</v>
      </c>
      <c r="J624" s="1" t="s">
        <v>4029</v>
      </c>
      <c r="K624" t="s">
        <v>4030</v>
      </c>
      <c r="L624" t="s">
        <v>4031</v>
      </c>
      <c r="M624" t="s">
        <v>27</v>
      </c>
      <c r="N624" t="s">
        <v>193</v>
      </c>
      <c r="O624" t="s">
        <v>22</v>
      </c>
      <c r="P624" t="s">
        <v>29</v>
      </c>
      <c r="Q624">
        <v>0</v>
      </c>
    </row>
    <row r="625" spans="1:17" x14ac:dyDescent="0.25">
      <c r="A625">
        <v>624</v>
      </c>
      <c r="B625" t="s">
        <v>4032</v>
      </c>
      <c r="C625" s="2">
        <v>39135</v>
      </c>
      <c r="D625">
        <v>19</v>
      </c>
      <c r="E625" t="s">
        <v>4033</v>
      </c>
      <c r="F625" s="1" t="s">
        <v>155</v>
      </c>
      <c r="G625" t="s">
        <v>156</v>
      </c>
      <c r="H625" t="s">
        <v>126</v>
      </c>
      <c r="I625" s="1" t="s">
        <v>4034</v>
      </c>
      <c r="J625" s="1" t="s">
        <v>4035</v>
      </c>
      <c r="K625" t="s">
        <v>4036</v>
      </c>
      <c r="L625" t="s">
        <v>4037</v>
      </c>
      <c r="M625" t="s">
        <v>48</v>
      </c>
      <c r="N625" t="s">
        <v>67</v>
      </c>
      <c r="O625" t="s">
        <v>50</v>
      </c>
      <c r="P625" t="s">
        <v>23</v>
      </c>
      <c r="Q625">
        <v>7</v>
      </c>
    </row>
    <row r="626" spans="1:17" x14ac:dyDescent="0.25">
      <c r="A626">
        <v>625</v>
      </c>
      <c r="B626" t="s">
        <v>4038</v>
      </c>
      <c r="C626" s="2">
        <v>33044</v>
      </c>
      <c r="D626">
        <v>36</v>
      </c>
      <c r="E626" t="s">
        <v>4039</v>
      </c>
      <c r="F626" s="1" t="s">
        <v>196</v>
      </c>
      <c r="G626" t="s">
        <v>197</v>
      </c>
      <c r="H626" t="s">
        <v>57</v>
      </c>
      <c r="I626" s="1" t="s">
        <v>4040</v>
      </c>
      <c r="J626" s="1" t="s">
        <v>4041</v>
      </c>
      <c r="K626" t="s">
        <v>4042</v>
      </c>
      <c r="L626" t="s">
        <v>4043</v>
      </c>
      <c r="M626" t="s">
        <v>68</v>
      </c>
      <c r="N626" t="s">
        <v>82</v>
      </c>
      <c r="O626" t="s">
        <v>59</v>
      </c>
      <c r="P626" t="s">
        <v>23</v>
      </c>
      <c r="Q626">
        <v>2</v>
      </c>
    </row>
    <row r="627" spans="1:17" x14ac:dyDescent="0.25">
      <c r="A627">
        <v>626</v>
      </c>
      <c r="B627" t="s">
        <v>4044</v>
      </c>
      <c r="C627" s="2">
        <v>32378</v>
      </c>
      <c r="D627">
        <v>38</v>
      </c>
      <c r="E627" t="s">
        <v>4045</v>
      </c>
      <c r="F627" s="1" t="s">
        <v>243</v>
      </c>
      <c r="G627" t="s">
        <v>244</v>
      </c>
      <c r="H627" t="s">
        <v>135</v>
      </c>
      <c r="I627" s="1" t="s">
        <v>4046</v>
      </c>
      <c r="J627" s="1" t="s">
        <v>4047</v>
      </c>
      <c r="K627" t="s">
        <v>4048</v>
      </c>
      <c r="L627" t="s">
        <v>4049</v>
      </c>
      <c r="M627" t="s">
        <v>27</v>
      </c>
      <c r="N627" t="s">
        <v>49</v>
      </c>
      <c r="O627" t="s">
        <v>59</v>
      </c>
      <c r="P627" t="s">
        <v>29</v>
      </c>
      <c r="Q627">
        <v>0</v>
      </c>
    </row>
    <row r="628" spans="1:17" x14ac:dyDescent="0.25">
      <c r="A628">
        <v>627</v>
      </c>
      <c r="B628" t="s">
        <v>4050</v>
      </c>
      <c r="C628" s="2">
        <v>22684</v>
      </c>
      <c r="D628">
        <v>64</v>
      </c>
      <c r="E628" t="s">
        <v>4051</v>
      </c>
      <c r="F628" s="1" t="s">
        <v>276</v>
      </c>
      <c r="G628" t="s">
        <v>277</v>
      </c>
      <c r="H628" t="s">
        <v>38</v>
      </c>
      <c r="I628" s="1" t="s">
        <v>4052</v>
      </c>
      <c r="J628" s="1" t="s">
        <v>4053</v>
      </c>
      <c r="K628" t="s">
        <v>4054</v>
      </c>
      <c r="L628" t="s">
        <v>4055</v>
      </c>
      <c r="M628" t="s">
        <v>48</v>
      </c>
      <c r="N628" t="s">
        <v>49</v>
      </c>
      <c r="O628" t="s">
        <v>35</v>
      </c>
      <c r="P628" t="s">
        <v>29</v>
      </c>
      <c r="Q628">
        <v>0</v>
      </c>
    </row>
    <row r="629" spans="1:17" x14ac:dyDescent="0.25">
      <c r="A629">
        <v>628</v>
      </c>
      <c r="B629" t="s">
        <v>4056</v>
      </c>
      <c r="C629" s="2">
        <v>23128</v>
      </c>
      <c r="D629">
        <v>63</v>
      </c>
      <c r="E629" t="s">
        <v>4057</v>
      </c>
      <c r="F629" s="1" t="s">
        <v>136</v>
      </c>
      <c r="G629" t="s">
        <v>137</v>
      </c>
      <c r="H629" t="s">
        <v>65</v>
      </c>
      <c r="I629" s="1" t="s">
        <v>4058</v>
      </c>
      <c r="J629" s="1" t="s">
        <v>4059</v>
      </c>
      <c r="K629" t="s">
        <v>4060</v>
      </c>
      <c r="L629" t="s">
        <v>4061</v>
      </c>
      <c r="M629" t="s">
        <v>27</v>
      </c>
      <c r="N629" t="s">
        <v>54</v>
      </c>
      <c r="O629" t="s">
        <v>35</v>
      </c>
      <c r="P629" t="s">
        <v>29</v>
      </c>
      <c r="Q629">
        <v>0</v>
      </c>
    </row>
    <row r="630" spans="1:17" x14ac:dyDescent="0.25">
      <c r="A630">
        <v>629</v>
      </c>
      <c r="B630" t="s">
        <v>4062</v>
      </c>
      <c r="C630" s="2">
        <v>32727</v>
      </c>
      <c r="D630">
        <v>37</v>
      </c>
      <c r="E630" t="s">
        <v>4063</v>
      </c>
      <c r="F630" s="1" t="s">
        <v>129</v>
      </c>
      <c r="G630" t="s">
        <v>130</v>
      </c>
      <c r="H630" t="s">
        <v>77</v>
      </c>
      <c r="I630" s="1" t="s">
        <v>4064</v>
      </c>
      <c r="J630" s="1" t="s">
        <v>4065</v>
      </c>
      <c r="K630" t="s">
        <v>4066</v>
      </c>
      <c r="L630" t="s">
        <v>4067</v>
      </c>
      <c r="M630" t="s">
        <v>48</v>
      </c>
      <c r="N630" t="s">
        <v>34</v>
      </c>
      <c r="O630" t="s">
        <v>59</v>
      </c>
      <c r="P630" t="s">
        <v>23</v>
      </c>
      <c r="Q630">
        <v>1</v>
      </c>
    </row>
    <row r="631" spans="1:17" x14ac:dyDescent="0.25">
      <c r="A631">
        <v>630</v>
      </c>
      <c r="B631" t="s">
        <v>4068</v>
      </c>
      <c r="C631" s="2">
        <v>29378</v>
      </c>
      <c r="D631">
        <v>46</v>
      </c>
      <c r="E631" t="s">
        <v>4069</v>
      </c>
      <c r="F631" s="1" t="s">
        <v>111</v>
      </c>
      <c r="G631" t="s">
        <v>112</v>
      </c>
      <c r="H631" t="s">
        <v>113</v>
      </c>
      <c r="I631" s="1" t="s">
        <v>4070</v>
      </c>
      <c r="J631" s="1" t="s">
        <v>4071</v>
      </c>
      <c r="K631" t="s">
        <v>4072</v>
      </c>
      <c r="L631" t="s">
        <v>4073</v>
      </c>
      <c r="M631" t="s">
        <v>27</v>
      </c>
      <c r="N631" t="s">
        <v>106</v>
      </c>
      <c r="O631" t="s">
        <v>59</v>
      </c>
      <c r="P631" t="s">
        <v>29</v>
      </c>
      <c r="Q631">
        <v>0</v>
      </c>
    </row>
    <row r="632" spans="1:17" x14ac:dyDescent="0.25">
      <c r="A632">
        <v>631</v>
      </c>
      <c r="B632" t="s">
        <v>4074</v>
      </c>
      <c r="C632" s="2">
        <v>38790</v>
      </c>
      <c r="D632">
        <v>20</v>
      </c>
      <c r="E632" t="s">
        <v>4075</v>
      </c>
      <c r="F632" s="1" t="s">
        <v>111</v>
      </c>
      <c r="G632" t="s">
        <v>112</v>
      </c>
      <c r="H632" t="s">
        <v>113</v>
      </c>
      <c r="I632" s="1" t="s">
        <v>4076</v>
      </c>
      <c r="J632" s="1" t="s">
        <v>4077</v>
      </c>
      <c r="K632" t="s">
        <v>4078</v>
      </c>
      <c r="L632" t="s">
        <v>4079</v>
      </c>
      <c r="M632" t="s">
        <v>48</v>
      </c>
      <c r="N632" t="s">
        <v>58</v>
      </c>
      <c r="O632" t="s">
        <v>59</v>
      </c>
      <c r="P632" t="s">
        <v>23</v>
      </c>
      <c r="Q632">
        <v>3</v>
      </c>
    </row>
    <row r="633" spans="1:17" x14ac:dyDescent="0.25">
      <c r="A633">
        <v>632</v>
      </c>
      <c r="B633" t="s">
        <v>4080</v>
      </c>
      <c r="C633" s="2">
        <v>22298</v>
      </c>
      <c r="D633">
        <v>65</v>
      </c>
      <c r="E633" t="s">
        <v>4081</v>
      </c>
      <c r="F633" s="1" t="s">
        <v>142</v>
      </c>
      <c r="G633" t="s">
        <v>143</v>
      </c>
      <c r="H633" t="s">
        <v>19</v>
      </c>
      <c r="I633" s="1" t="s">
        <v>4082</v>
      </c>
      <c r="J633" s="1" t="s">
        <v>4083</v>
      </c>
      <c r="K633" t="s">
        <v>4084</v>
      </c>
      <c r="L633" t="s">
        <v>4085</v>
      </c>
      <c r="M633" t="s">
        <v>33</v>
      </c>
      <c r="N633" t="s">
        <v>49</v>
      </c>
      <c r="O633" t="s">
        <v>40</v>
      </c>
      <c r="P633" t="s">
        <v>29</v>
      </c>
      <c r="Q633">
        <v>0</v>
      </c>
    </row>
    <row r="634" spans="1:17" x14ac:dyDescent="0.25">
      <c r="A634">
        <v>633</v>
      </c>
      <c r="B634" t="s">
        <v>4086</v>
      </c>
      <c r="C634" s="2">
        <v>35629</v>
      </c>
      <c r="D634">
        <v>29</v>
      </c>
      <c r="E634" t="s">
        <v>4087</v>
      </c>
      <c r="F634" s="1" t="s">
        <v>290</v>
      </c>
      <c r="G634" t="s">
        <v>291</v>
      </c>
      <c r="H634" t="s">
        <v>249</v>
      </c>
      <c r="I634" s="1" t="s">
        <v>4088</v>
      </c>
      <c r="J634" s="1" t="s">
        <v>4089</v>
      </c>
      <c r="K634" t="s">
        <v>4090</v>
      </c>
      <c r="L634" t="s">
        <v>4091</v>
      </c>
      <c r="M634" t="s">
        <v>48</v>
      </c>
      <c r="N634" t="s">
        <v>150</v>
      </c>
      <c r="O634" t="s">
        <v>50</v>
      </c>
      <c r="P634" t="s">
        <v>23</v>
      </c>
      <c r="Q634">
        <v>3</v>
      </c>
    </row>
    <row r="635" spans="1:17" x14ac:dyDescent="0.25">
      <c r="A635">
        <v>634</v>
      </c>
      <c r="B635" t="s">
        <v>4092</v>
      </c>
      <c r="C635" s="2">
        <v>27998</v>
      </c>
      <c r="D635">
        <v>50</v>
      </c>
      <c r="E635" t="s">
        <v>4093</v>
      </c>
      <c r="F635" s="1" t="s">
        <v>120</v>
      </c>
      <c r="G635" t="s">
        <v>121</v>
      </c>
      <c r="H635" t="s">
        <v>62</v>
      </c>
      <c r="I635" s="1" t="s">
        <v>4094</v>
      </c>
      <c r="J635" s="1" t="s">
        <v>4095</v>
      </c>
      <c r="K635" t="s">
        <v>4096</v>
      </c>
      <c r="L635" t="s">
        <v>4097</v>
      </c>
      <c r="M635" t="s">
        <v>48</v>
      </c>
      <c r="N635" t="s">
        <v>21</v>
      </c>
      <c r="O635" t="s">
        <v>40</v>
      </c>
      <c r="P635" t="s">
        <v>23</v>
      </c>
      <c r="Q635">
        <v>1</v>
      </c>
    </row>
    <row r="636" spans="1:17" x14ac:dyDescent="0.25">
      <c r="A636">
        <v>635</v>
      </c>
      <c r="B636" t="s">
        <v>4098</v>
      </c>
      <c r="C636" s="2">
        <v>36415</v>
      </c>
      <c r="D636">
        <v>27</v>
      </c>
      <c r="E636" t="s">
        <v>4099</v>
      </c>
      <c r="F636" s="1" t="s">
        <v>202</v>
      </c>
      <c r="G636" t="s">
        <v>203</v>
      </c>
      <c r="H636" t="s">
        <v>43</v>
      </c>
      <c r="I636" s="1" t="s">
        <v>4100</v>
      </c>
      <c r="J636" s="1" t="s">
        <v>4101</v>
      </c>
      <c r="K636" t="s">
        <v>4102</v>
      </c>
      <c r="L636" t="s">
        <v>4103</v>
      </c>
      <c r="M636" t="s">
        <v>33</v>
      </c>
      <c r="N636" t="s">
        <v>54</v>
      </c>
      <c r="O636" t="s">
        <v>40</v>
      </c>
      <c r="P636" t="s">
        <v>23</v>
      </c>
      <c r="Q636">
        <v>1</v>
      </c>
    </row>
    <row r="637" spans="1:17" x14ac:dyDescent="0.25">
      <c r="A637">
        <v>636</v>
      </c>
      <c r="B637" t="s">
        <v>4104</v>
      </c>
      <c r="C637" s="2">
        <v>27365</v>
      </c>
      <c r="D637">
        <v>52</v>
      </c>
      <c r="E637" t="s">
        <v>4105</v>
      </c>
      <c r="F637" s="1" t="s">
        <v>278</v>
      </c>
      <c r="G637" t="s">
        <v>279</v>
      </c>
      <c r="H637" t="s">
        <v>26</v>
      </c>
      <c r="I637" s="1" t="s">
        <v>4106</v>
      </c>
      <c r="J637" s="1" t="s">
        <v>4107</v>
      </c>
      <c r="K637" t="s">
        <v>4108</v>
      </c>
      <c r="L637" t="s">
        <v>4109</v>
      </c>
      <c r="M637" t="s">
        <v>48</v>
      </c>
      <c r="N637" t="s">
        <v>212</v>
      </c>
      <c r="O637" t="s">
        <v>59</v>
      </c>
      <c r="P637" t="s">
        <v>23</v>
      </c>
      <c r="Q637">
        <v>3</v>
      </c>
    </row>
    <row r="638" spans="1:17" x14ac:dyDescent="0.25">
      <c r="A638">
        <v>637</v>
      </c>
      <c r="B638" t="s">
        <v>4110</v>
      </c>
      <c r="C638" s="2">
        <v>23153</v>
      </c>
      <c r="D638">
        <v>63</v>
      </c>
      <c r="E638" t="s">
        <v>4111</v>
      </c>
      <c r="F638" s="1" t="s">
        <v>159</v>
      </c>
      <c r="G638" t="s">
        <v>160</v>
      </c>
      <c r="H638" t="s">
        <v>113</v>
      </c>
      <c r="I638" s="1" t="s">
        <v>4112</v>
      </c>
      <c r="J638" s="1" t="s">
        <v>4113</v>
      </c>
      <c r="K638" t="s">
        <v>4114</v>
      </c>
      <c r="L638" t="s">
        <v>4115</v>
      </c>
      <c r="M638" t="s">
        <v>48</v>
      </c>
      <c r="N638" t="s">
        <v>212</v>
      </c>
      <c r="O638" t="s">
        <v>50</v>
      </c>
      <c r="P638" t="s">
        <v>29</v>
      </c>
      <c r="Q638">
        <v>0</v>
      </c>
    </row>
    <row r="639" spans="1:17" x14ac:dyDescent="0.25">
      <c r="A639">
        <v>638</v>
      </c>
      <c r="B639" t="s">
        <v>4116</v>
      </c>
      <c r="C639" s="2">
        <v>37077</v>
      </c>
      <c r="D639">
        <v>25</v>
      </c>
      <c r="E639" t="s">
        <v>4117</v>
      </c>
      <c r="F639" s="1" t="s">
        <v>133</v>
      </c>
      <c r="G639" t="s">
        <v>134</v>
      </c>
      <c r="H639" t="s">
        <v>135</v>
      </c>
      <c r="I639" s="1" t="s">
        <v>4118</v>
      </c>
      <c r="J639" s="1" t="s">
        <v>4119</v>
      </c>
      <c r="K639" t="s">
        <v>4120</v>
      </c>
      <c r="L639" t="s">
        <v>4121</v>
      </c>
      <c r="M639" t="s">
        <v>33</v>
      </c>
      <c r="N639" t="s">
        <v>114</v>
      </c>
      <c r="O639" t="s">
        <v>22</v>
      </c>
      <c r="P639" t="s">
        <v>29</v>
      </c>
      <c r="Q639">
        <v>0</v>
      </c>
    </row>
    <row r="640" spans="1:17" x14ac:dyDescent="0.25">
      <c r="A640">
        <v>639</v>
      </c>
      <c r="B640" t="s">
        <v>4122</v>
      </c>
      <c r="C640" s="2">
        <v>31055</v>
      </c>
      <c r="D640">
        <v>41</v>
      </c>
      <c r="E640" t="s">
        <v>4123</v>
      </c>
      <c r="F640" s="1" t="s">
        <v>142</v>
      </c>
      <c r="G640" t="s">
        <v>143</v>
      </c>
      <c r="H640" t="s">
        <v>19</v>
      </c>
      <c r="I640" s="1" t="s">
        <v>4124</v>
      </c>
      <c r="J640" s="1" t="s">
        <v>4125</v>
      </c>
      <c r="K640" t="s">
        <v>4126</v>
      </c>
      <c r="L640" t="s">
        <v>4127</v>
      </c>
      <c r="M640" t="s">
        <v>27</v>
      </c>
      <c r="N640" t="s">
        <v>66</v>
      </c>
      <c r="O640" t="s">
        <v>50</v>
      </c>
      <c r="P640" t="s">
        <v>29</v>
      </c>
      <c r="Q640">
        <v>0</v>
      </c>
    </row>
    <row r="641" spans="1:17" x14ac:dyDescent="0.25">
      <c r="A641">
        <v>640</v>
      </c>
      <c r="B641" t="s">
        <v>4128</v>
      </c>
      <c r="C641" s="2">
        <v>27307</v>
      </c>
      <c r="D641">
        <v>52</v>
      </c>
      <c r="E641" t="s">
        <v>4129</v>
      </c>
      <c r="F641" s="1" t="s">
        <v>170</v>
      </c>
      <c r="G641" t="s">
        <v>171</v>
      </c>
      <c r="H641" t="s">
        <v>57</v>
      </c>
      <c r="I641" s="1" t="s">
        <v>4130</v>
      </c>
      <c r="J641" s="1" t="s">
        <v>4131</v>
      </c>
      <c r="K641" t="s">
        <v>4132</v>
      </c>
      <c r="L641" t="s">
        <v>4133</v>
      </c>
      <c r="M641" t="s">
        <v>27</v>
      </c>
      <c r="N641" t="s">
        <v>39</v>
      </c>
      <c r="O641" t="s">
        <v>22</v>
      </c>
      <c r="P641" t="s">
        <v>23</v>
      </c>
      <c r="Q641">
        <v>2</v>
      </c>
    </row>
    <row r="642" spans="1:17" x14ac:dyDescent="0.25">
      <c r="A642">
        <v>641</v>
      </c>
      <c r="B642" t="s">
        <v>4134</v>
      </c>
      <c r="C642" s="2">
        <v>36206</v>
      </c>
      <c r="D642">
        <v>27</v>
      </c>
      <c r="E642" t="s">
        <v>4135</v>
      </c>
      <c r="F642" s="1" t="s">
        <v>284</v>
      </c>
      <c r="G642" t="s">
        <v>285</v>
      </c>
      <c r="H642" t="s">
        <v>104</v>
      </c>
      <c r="I642" s="1" t="s">
        <v>4136</v>
      </c>
      <c r="J642" s="1" t="s">
        <v>4137</v>
      </c>
      <c r="K642" t="s">
        <v>4138</v>
      </c>
      <c r="L642" t="s">
        <v>4139</v>
      </c>
      <c r="M642" t="s">
        <v>48</v>
      </c>
      <c r="N642" t="s">
        <v>66</v>
      </c>
      <c r="O642" t="s">
        <v>35</v>
      </c>
      <c r="P642" t="s">
        <v>29</v>
      </c>
      <c r="Q642">
        <v>0</v>
      </c>
    </row>
    <row r="643" spans="1:17" x14ac:dyDescent="0.25">
      <c r="A643">
        <v>642</v>
      </c>
      <c r="B643" t="s">
        <v>4140</v>
      </c>
      <c r="C643" s="2">
        <v>33118</v>
      </c>
      <c r="D643">
        <v>36</v>
      </c>
      <c r="E643" t="s">
        <v>4141</v>
      </c>
      <c r="F643" s="1" t="s">
        <v>174</v>
      </c>
      <c r="G643" t="s">
        <v>175</v>
      </c>
      <c r="H643" t="s">
        <v>19</v>
      </c>
      <c r="I643" s="1" t="s">
        <v>4142</v>
      </c>
      <c r="J643" s="1" t="s">
        <v>4143</v>
      </c>
      <c r="K643" t="s">
        <v>4144</v>
      </c>
      <c r="L643" t="s">
        <v>4145</v>
      </c>
      <c r="M643" t="s">
        <v>33</v>
      </c>
      <c r="N643" t="s">
        <v>99</v>
      </c>
      <c r="O643" t="s">
        <v>40</v>
      </c>
      <c r="P643" t="s">
        <v>23</v>
      </c>
      <c r="Q643">
        <v>3</v>
      </c>
    </row>
    <row r="644" spans="1:17" x14ac:dyDescent="0.25">
      <c r="A644">
        <v>643</v>
      </c>
      <c r="B644" t="s">
        <v>4146</v>
      </c>
      <c r="C644" s="2">
        <v>23350</v>
      </c>
      <c r="D644">
        <v>63</v>
      </c>
      <c r="E644" t="s">
        <v>4147</v>
      </c>
      <c r="F644" s="1" t="s">
        <v>243</v>
      </c>
      <c r="G644" t="s">
        <v>244</v>
      </c>
      <c r="H644" t="s">
        <v>135</v>
      </c>
      <c r="I644" s="1" t="s">
        <v>4148</v>
      </c>
      <c r="J644" s="1" t="s">
        <v>4149</v>
      </c>
      <c r="K644" t="s">
        <v>4150</v>
      </c>
      <c r="L644" t="s">
        <v>4151</v>
      </c>
      <c r="M644" t="s">
        <v>33</v>
      </c>
      <c r="N644" t="s">
        <v>88</v>
      </c>
      <c r="O644" t="s">
        <v>59</v>
      </c>
      <c r="P644" t="s">
        <v>23</v>
      </c>
      <c r="Q644">
        <v>1</v>
      </c>
    </row>
    <row r="645" spans="1:17" x14ac:dyDescent="0.25">
      <c r="A645">
        <v>644</v>
      </c>
      <c r="B645" t="s">
        <v>4152</v>
      </c>
      <c r="C645" s="2">
        <v>36465</v>
      </c>
      <c r="D645">
        <v>27</v>
      </c>
      <c r="E645" t="s">
        <v>4153</v>
      </c>
      <c r="F645" s="1" t="s">
        <v>208</v>
      </c>
      <c r="G645" t="s">
        <v>209</v>
      </c>
      <c r="H645" t="s">
        <v>62</v>
      </c>
      <c r="I645" s="1" t="s">
        <v>4154</v>
      </c>
      <c r="J645" s="1" t="s">
        <v>4155</v>
      </c>
      <c r="K645" t="s">
        <v>4156</v>
      </c>
      <c r="L645" t="s">
        <v>4157</v>
      </c>
      <c r="M645" t="s">
        <v>33</v>
      </c>
      <c r="N645" t="s">
        <v>212</v>
      </c>
      <c r="O645" t="s">
        <v>35</v>
      </c>
      <c r="P645" t="s">
        <v>29</v>
      </c>
      <c r="Q645">
        <v>0</v>
      </c>
    </row>
    <row r="646" spans="1:17" x14ac:dyDescent="0.25">
      <c r="A646">
        <v>645</v>
      </c>
      <c r="B646" t="s">
        <v>4158</v>
      </c>
      <c r="C646" s="2">
        <v>37137</v>
      </c>
      <c r="D646">
        <v>25</v>
      </c>
      <c r="E646" t="s">
        <v>4159</v>
      </c>
      <c r="F646" s="1" t="s">
        <v>215</v>
      </c>
      <c r="G646" t="s">
        <v>216</v>
      </c>
      <c r="H646" t="s">
        <v>113</v>
      </c>
      <c r="I646" s="1" t="s">
        <v>4160</v>
      </c>
      <c r="J646" s="1" t="s">
        <v>4161</v>
      </c>
      <c r="K646" t="s">
        <v>4162</v>
      </c>
      <c r="L646" t="s">
        <v>4163</v>
      </c>
      <c r="M646" t="s">
        <v>48</v>
      </c>
      <c r="N646" t="s">
        <v>106</v>
      </c>
      <c r="O646" t="s">
        <v>59</v>
      </c>
      <c r="P646" t="s">
        <v>23</v>
      </c>
      <c r="Q646">
        <v>2</v>
      </c>
    </row>
    <row r="647" spans="1:17" x14ac:dyDescent="0.25">
      <c r="A647">
        <v>646</v>
      </c>
      <c r="B647" t="s">
        <v>4164</v>
      </c>
      <c r="C647" s="2">
        <v>39234</v>
      </c>
      <c r="D647">
        <v>19</v>
      </c>
      <c r="E647" t="s">
        <v>4165</v>
      </c>
      <c r="F647" s="1" t="s">
        <v>189</v>
      </c>
      <c r="G647" t="s">
        <v>190</v>
      </c>
      <c r="H647" t="s">
        <v>91</v>
      </c>
      <c r="I647" s="1" t="s">
        <v>4166</v>
      </c>
      <c r="J647" s="1" t="s">
        <v>4167</v>
      </c>
      <c r="K647" t="s">
        <v>4168</v>
      </c>
      <c r="L647" t="s">
        <v>4169</v>
      </c>
      <c r="M647" t="s">
        <v>27</v>
      </c>
      <c r="N647" t="s">
        <v>67</v>
      </c>
      <c r="O647" t="s">
        <v>59</v>
      </c>
      <c r="P647" t="s">
        <v>23</v>
      </c>
      <c r="Q647">
        <v>1</v>
      </c>
    </row>
    <row r="648" spans="1:17" x14ac:dyDescent="0.25">
      <c r="A648">
        <v>647</v>
      </c>
      <c r="B648" t="s">
        <v>4170</v>
      </c>
      <c r="C648" s="2">
        <v>31483</v>
      </c>
      <c r="D648">
        <v>40</v>
      </c>
      <c r="E648" t="s">
        <v>4171</v>
      </c>
      <c r="F648" s="1" t="s">
        <v>111</v>
      </c>
      <c r="G648" t="s">
        <v>112</v>
      </c>
      <c r="H648" t="s">
        <v>113</v>
      </c>
      <c r="I648" s="1" t="s">
        <v>4172</v>
      </c>
      <c r="J648" s="1" t="s">
        <v>4173</v>
      </c>
      <c r="K648" t="s">
        <v>4174</v>
      </c>
      <c r="L648" t="s">
        <v>4175</v>
      </c>
      <c r="M648" t="s">
        <v>33</v>
      </c>
      <c r="N648" t="s">
        <v>193</v>
      </c>
      <c r="O648" t="s">
        <v>22</v>
      </c>
      <c r="P648" t="s">
        <v>23</v>
      </c>
      <c r="Q648">
        <v>2</v>
      </c>
    </row>
    <row r="649" spans="1:17" x14ac:dyDescent="0.25">
      <c r="A649">
        <v>648</v>
      </c>
      <c r="B649" t="s">
        <v>4176</v>
      </c>
      <c r="C649" s="2">
        <v>31310</v>
      </c>
      <c r="D649">
        <v>41</v>
      </c>
      <c r="E649" t="s">
        <v>4177</v>
      </c>
      <c r="F649" s="1" t="s">
        <v>191</v>
      </c>
      <c r="G649" t="s">
        <v>192</v>
      </c>
      <c r="H649" t="s">
        <v>126</v>
      </c>
      <c r="I649" s="1" t="s">
        <v>4178</v>
      </c>
      <c r="J649" s="1" t="s">
        <v>4179</v>
      </c>
      <c r="K649" t="s">
        <v>4180</v>
      </c>
      <c r="L649" t="s">
        <v>4181</v>
      </c>
      <c r="M649" t="s">
        <v>27</v>
      </c>
      <c r="N649" t="s">
        <v>106</v>
      </c>
      <c r="O649" t="s">
        <v>40</v>
      </c>
      <c r="P649" t="s">
        <v>29</v>
      </c>
      <c r="Q649">
        <v>0</v>
      </c>
    </row>
    <row r="650" spans="1:17" x14ac:dyDescent="0.25">
      <c r="A650">
        <v>649</v>
      </c>
      <c r="B650" t="s">
        <v>4182</v>
      </c>
      <c r="C650" s="2">
        <v>26582</v>
      </c>
      <c r="D650">
        <v>54</v>
      </c>
      <c r="E650" t="s">
        <v>4183</v>
      </c>
      <c r="F650" s="1" t="s">
        <v>247</v>
      </c>
      <c r="G650" t="s">
        <v>248</v>
      </c>
      <c r="H650" t="s">
        <v>249</v>
      </c>
      <c r="I650" s="1" t="s">
        <v>4184</v>
      </c>
      <c r="J650" s="1" t="s">
        <v>4185</v>
      </c>
      <c r="K650" t="s">
        <v>4186</v>
      </c>
      <c r="L650" t="s">
        <v>4187</v>
      </c>
      <c r="M650" t="s">
        <v>27</v>
      </c>
      <c r="N650" t="s">
        <v>58</v>
      </c>
      <c r="O650" t="s">
        <v>40</v>
      </c>
      <c r="P650" t="s">
        <v>23</v>
      </c>
      <c r="Q650">
        <v>1</v>
      </c>
    </row>
    <row r="651" spans="1:17" x14ac:dyDescent="0.25">
      <c r="A651">
        <v>650</v>
      </c>
      <c r="B651" t="s">
        <v>4188</v>
      </c>
      <c r="C651" s="2">
        <v>28344</v>
      </c>
      <c r="D651">
        <v>49</v>
      </c>
      <c r="E651" t="s">
        <v>4189</v>
      </c>
      <c r="F651" s="1" t="s">
        <v>215</v>
      </c>
      <c r="G651" t="s">
        <v>216</v>
      </c>
      <c r="H651" t="s">
        <v>113</v>
      </c>
      <c r="I651" s="1" t="s">
        <v>4190</v>
      </c>
      <c r="J651" s="1" t="s">
        <v>4191</v>
      </c>
      <c r="K651" t="s">
        <v>4192</v>
      </c>
      <c r="L651" t="s">
        <v>4193</v>
      </c>
      <c r="M651" t="s">
        <v>33</v>
      </c>
      <c r="N651" t="s">
        <v>106</v>
      </c>
      <c r="O651" t="s">
        <v>22</v>
      </c>
      <c r="P651" t="s">
        <v>29</v>
      </c>
      <c r="Q651">
        <v>0</v>
      </c>
    </row>
    <row r="652" spans="1:17" x14ac:dyDescent="0.25">
      <c r="A652">
        <v>651</v>
      </c>
      <c r="B652" t="s">
        <v>4194</v>
      </c>
      <c r="C652" s="2">
        <v>32764</v>
      </c>
      <c r="D652">
        <v>37</v>
      </c>
      <c r="E652" t="s">
        <v>4195</v>
      </c>
      <c r="F652" s="1" t="s">
        <v>213</v>
      </c>
      <c r="G652" t="s">
        <v>214</v>
      </c>
      <c r="H652" t="s">
        <v>119</v>
      </c>
      <c r="I652" s="1" t="s">
        <v>4196</v>
      </c>
      <c r="J652" s="1" t="s">
        <v>4197</v>
      </c>
      <c r="K652" t="s">
        <v>4198</v>
      </c>
      <c r="L652" t="s">
        <v>4199</v>
      </c>
      <c r="M652" t="s">
        <v>27</v>
      </c>
      <c r="N652" t="s">
        <v>150</v>
      </c>
      <c r="O652" t="s">
        <v>35</v>
      </c>
      <c r="P652" t="s">
        <v>23</v>
      </c>
      <c r="Q652">
        <v>1</v>
      </c>
    </row>
    <row r="653" spans="1:17" x14ac:dyDescent="0.25">
      <c r="A653">
        <v>652</v>
      </c>
      <c r="B653" t="s">
        <v>4200</v>
      </c>
      <c r="C653" s="2">
        <v>30417</v>
      </c>
      <c r="D653">
        <v>43</v>
      </c>
      <c r="E653" t="s">
        <v>4201</v>
      </c>
      <c r="F653" s="1" t="s">
        <v>295</v>
      </c>
      <c r="G653" t="s">
        <v>225</v>
      </c>
      <c r="H653" t="s">
        <v>87</v>
      </c>
      <c r="I653" s="1" t="s">
        <v>4202</v>
      </c>
      <c r="J653" s="1" t="s">
        <v>4203</v>
      </c>
      <c r="K653" t="s">
        <v>4204</v>
      </c>
      <c r="L653" t="s">
        <v>4205</v>
      </c>
      <c r="M653" t="s">
        <v>27</v>
      </c>
      <c r="N653" t="s">
        <v>58</v>
      </c>
      <c r="O653" t="s">
        <v>40</v>
      </c>
      <c r="P653" t="s">
        <v>23</v>
      </c>
      <c r="Q653">
        <v>1</v>
      </c>
    </row>
    <row r="654" spans="1:17" x14ac:dyDescent="0.25">
      <c r="A654">
        <v>653</v>
      </c>
      <c r="B654" t="s">
        <v>4206</v>
      </c>
      <c r="C654" s="2">
        <v>23386</v>
      </c>
      <c r="D654">
        <v>62</v>
      </c>
      <c r="E654" t="s">
        <v>4207</v>
      </c>
      <c r="F654" s="1" t="s">
        <v>241</v>
      </c>
      <c r="G654" t="s">
        <v>242</v>
      </c>
      <c r="H654" t="s">
        <v>81</v>
      </c>
      <c r="I654" s="1" t="s">
        <v>4208</v>
      </c>
      <c r="J654" s="1" t="s">
        <v>4209</v>
      </c>
      <c r="K654" t="s">
        <v>4210</v>
      </c>
      <c r="L654" t="s">
        <v>4211</v>
      </c>
      <c r="M654" t="s">
        <v>33</v>
      </c>
      <c r="N654" t="s">
        <v>44</v>
      </c>
      <c r="O654" t="s">
        <v>59</v>
      </c>
      <c r="P654" t="s">
        <v>29</v>
      </c>
      <c r="Q654">
        <v>0</v>
      </c>
    </row>
    <row r="655" spans="1:17" x14ac:dyDescent="0.25">
      <c r="A655">
        <v>654</v>
      </c>
      <c r="B655" t="s">
        <v>4212</v>
      </c>
      <c r="C655" s="2">
        <v>26808</v>
      </c>
      <c r="D655">
        <v>53</v>
      </c>
      <c r="E655" t="s">
        <v>4213</v>
      </c>
      <c r="F655" s="1" t="s">
        <v>202</v>
      </c>
      <c r="G655" t="s">
        <v>203</v>
      </c>
      <c r="H655" t="s">
        <v>43</v>
      </c>
      <c r="I655" s="1" t="s">
        <v>4214</v>
      </c>
      <c r="J655" s="1" t="s">
        <v>4215</v>
      </c>
      <c r="K655" t="s">
        <v>4216</v>
      </c>
      <c r="L655" t="s">
        <v>4217</v>
      </c>
      <c r="M655" t="s">
        <v>48</v>
      </c>
      <c r="N655" t="s">
        <v>99</v>
      </c>
      <c r="O655" t="s">
        <v>35</v>
      </c>
      <c r="P655" t="s">
        <v>29</v>
      </c>
      <c r="Q655">
        <v>0</v>
      </c>
    </row>
    <row r="656" spans="1:17" x14ac:dyDescent="0.25">
      <c r="A656">
        <v>655</v>
      </c>
      <c r="B656" t="s">
        <v>4218</v>
      </c>
      <c r="C656" s="2">
        <v>32394</v>
      </c>
      <c r="D656">
        <v>38</v>
      </c>
      <c r="E656" t="s">
        <v>4219</v>
      </c>
      <c r="F656" s="1" t="s">
        <v>202</v>
      </c>
      <c r="G656" t="s">
        <v>203</v>
      </c>
      <c r="H656" t="s">
        <v>43</v>
      </c>
      <c r="I656" s="1" t="s">
        <v>4220</v>
      </c>
      <c r="J656" s="1" t="s">
        <v>4221</v>
      </c>
      <c r="K656" t="s">
        <v>4222</v>
      </c>
      <c r="L656" t="s">
        <v>4223</v>
      </c>
      <c r="M656" t="s">
        <v>48</v>
      </c>
      <c r="N656" t="s">
        <v>78</v>
      </c>
      <c r="O656" t="s">
        <v>22</v>
      </c>
      <c r="P656" t="s">
        <v>29</v>
      </c>
      <c r="Q656">
        <v>0</v>
      </c>
    </row>
    <row r="657" spans="1:17" x14ac:dyDescent="0.25">
      <c r="A657">
        <v>656</v>
      </c>
      <c r="B657" t="s">
        <v>4224</v>
      </c>
      <c r="C657" s="2">
        <v>31788</v>
      </c>
      <c r="D657">
        <v>39</v>
      </c>
      <c r="E657" t="s">
        <v>4225</v>
      </c>
      <c r="F657" s="1" t="s">
        <v>215</v>
      </c>
      <c r="G657" t="s">
        <v>216</v>
      </c>
      <c r="H657" t="s">
        <v>113</v>
      </c>
      <c r="I657" s="1" t="s">
        <v>4226</v>
      </c>
      <c r="J657" s="1" t="s">
        <v>4227</v>
      </c>
      <c r="K657" t="s">
        <v>4228</v>
      </c>
      <c r="L657" t="s">
        <v>4229</v>
      </c>
      <c r="M657" t="s">
        <v>27</v>
      </c>
      <c r="N657" t="s">
        <v>106</v>
      </c>
      <c r="O657" t="s">
        <v>40</v>
      </c>
      <c r="P657" t="s">
        <v>23</v>
      </c>
      <c r="Q657">
        <v>1</v>
      </c>
    </row>
    <row r="658" spans="1:17" x14ac:dyDescent="0.25">
      <c r="A658">
        <v>657</v>
      </c>
      <c r="B658" t="s">
        <v>4230</v>
      </c>
      <c r="C658" s="2">
        <v>31187</v>
      </c>
      <c r="D658">
        <v>41</v>
      </c>
      <c r="E658" t="s">
        <v>4231</v>
      </c>
      <c r="F658" s="1" t="s">
        <v>117</v>
      </c>
      <c r="G658" t="s">
        <v>118</v>
      </c>
      <c r="H658" t="s">
        <v>119</v>
      </c>
      <c r="I658" s="1" t="s">
        <v>4232</v>
      </c>
      <c r="J658" s="1" t="s">
        <v>4233</v>
      </c>
      <c r="K658" t="s">
        <v>4234</v>
      </c>
      <c r="L658" t="s">
        <v>4235</v>
      </c>
      <c r="M658" t="s">
        <v>33</v>
      </c>
      <c r="N658" t="s">
        <v>58</v>
      </c>
      <c r="O658" t="s">
        <v>35</v>
      </c>
      <c r="P658" t="s">
        <v>29</v>
      </c>
      <c r="Q658">
        <v>0</v>
      </c>
    </row>
    <row r="659" spans="1:17" x14ac:dyDescent="0.25">
      <c r="A659">
        <v>658</v>
      </c>
      <c r="B659" t="s">
        <v>4236</v>
      </c>
      <c r="C659" s="2">
        <v>39274</v>
      </c>
      <c r="D659">
        <v>19</v>
      </c>
      <c r="E659" t="s">
        <v>4237</v>
      </c>
      <c r="F659" s="1" t="s">
        <v>153</v>
      </c>
      <c r="G659" t="s">
        <v>154</v>
      </c>
      <c r="H659" t="s">
        <v>104</v>
      </c>
      <c r="I659" s="1" t="s">
        <v>4238</v>
      </c>
      <c r="J659" s="1" t="s">
        <v>4239</v>
      </c>
      <c r="K659" t="s">
        <v>4240</v>
      </c>
      <c r="L659" t="s">
        <v>4241</v>
      </c>
      <c r="M659" t="s">
        <v>27</v>
      </c>
      <c r="N659" t="s">
        <v>212</v>
      </c>
      <c r="O659" t="s">
        <v>35</v>
      </c>
      <c r="P659" t="s">
        <v>29</v>
      </c>
      <c r="Q659">
        <v>0</v>
      </c>
    </row>
    <row r="660" spans="1:17" x14ac:dyDescent="0.25">
      <c r="A660">
        <v>659</v>
      </c>
      <c r="B660" t="s">
        <v>4242</v>
      </c>
      <c r="C660" s="2">
        <v>22621</v>
      </c>
      <c r="D660">
        <v>65</v>
      </c>
      <c r="E660" t="s">
        <v>4243</v>
      </c>
      <c r="F660" s="1" t="s">
        <v>17</v>
      </c>
      <c r="G660" t="s">
        <v>18</v>
      </c>
      <c r="H660" t="s">
        <v>19</v>
      </c>
      <c r="I660" s="1" t="s">
        <v>4244</v>
      </c>
      <c r="J660" s="1" t="s">
        <v>4245</v>
      </c>
      <c r="K660" t="s">
        <v>4246</v>
      </c>
      <c r="L660" t="s">
        <v>4247</v>
      </c>
      <c r="M660" t="s">
        <v>48</v>
      </c>
      <c r="N660" t="s">
        <v>72</v>
      </c>
      <c r="O660" t="s">
        <v>35</v>
      </c>
      <c r="P660" t="s">
        <v>23</v>
      </c>
      <c r="Q660">
        <v>1</v>
      </c>
    </row>
    <row r="661" spans="1:17" x14ac:dyDescent="0.25">
      <c r="A661">
        <v>660</v>
      </c>
      <c r="B661" t="s">
        <v>4248</v>
      </c>
      <c r="C661" s="2">
        <v>37653</v>
      </c>
      <c r="D661">
        <v>23</v>
      </c>
      <c r="E661" t="s">
        <v>4249</v>
      </c>
      <c r="F661" s="1" t="s">
        <v>133</v>
      </c>
      <c r="G661" t="s">
        <v>134</v>
      </c>
      <c r="H661" t="s">
        <v>135</v>
      </c>
      <c r="I661" s="1" t="s">
        <v>4250</v>
      </c>
      <c r="J661" s="1" t="s">
        <v>4251</v>
      </c>
      <c r="K661" t="s">
        <v>4252</v>
      </c>
      <c r="L661" t="s">
        <v>4253</v>
      </c>
      <c r="M661" t="s">
        <v>27</v>
      </c>
      <c r="N661" t="s">
        <v>78</v>
      </c>
      <c r="O661" t="s">
        <v>50</v>
      </c>
      <c r="P661" t="s">
        <v>23</v>
      </c>
      <c r="Q661">
        <v>1</v>
      </c>
    </row>
    <row r="662" spans="1:17" x14ac:dyDescent="0.25">
      <c r="A662">
        <v>661</v>
      </c>
      <c r="B662" t="s">
        <v>4254</v>
      </c>
      <c r="C662" s="2">
        <v>39326</v>
      </c>
      <c r="D662">
        <v>19</v>
      </c>
      <c r="E662" t="s">
        <v>4255</v>
      </c>
      <c r="F662" s="1" t="s">
        <v>94</v>
      </c>
      <c r="G662" t="s">
        <v>95</v>
      </c>
      <c r="H662" t="s">
        <v>96</v>
      </c>
      <c r="I662" s="1" t="s">
        <v>4256</v>
      </c>
      <c r="J662" s="1" t="s">
        <v>4257</v>
      </c>
      <c r="K662" t="s">
        <v>4258</v>
      </c>
      <c r="L662" t="s">
        <v>4259</v>
      </c>
      <c r="M662" t="s">
        <v>27</v>
      </c>
      <c r="N662" t="s">
        <v>82</v>
      </c>
      <c r="O662" t="s">
        <v>50</v>
      </c>
      <c r="P662" t="s">
        <v>29</v>
      </c>
      <c r="Q662">
        <v>0</v>
      </c>
    </row>
    <row r="663" spans="1:17" x14ac:dyDescent="0.25">
      <c r="A663">
        <v>662</v>
      </c>
      <c r="B663" t="s">
        <v>4260</v>
      </c>
      <c r="C663" s="2">
        <v>29589</v>
      </c>
      <c r="D663">
        <v>45</v>
      </c>
      <c r="E663" t="s">
        <v>4261</v>
      </c>
      <c r="F663" s="1" t="s">
        <v>55</v>
      </c>
      <c r="G663" t="s">
        <v>56</v>
      </c>
      <c r="H663" t="s">
        <v>57</v>
      </c>
      <c r="I663" s="1" t="s">
        <v>4262</v>
      </c>
      <c r="J663" s="1" t="s">
        <v>4263</v>
      </c>
      <c r="K663" t="s">
        <v>4264</v>
      </c>
      <c r="L663" t="s">
        <v>4265</v>
      </c>
      <c r="M663" t="s">
        <v>27</v>
      </c>
      <c r="N663" t="s">
        <v>193</v>
      </c>
      <c r="O663" t="s">
        <v>40</v>
      </c>
      <c r="P663" t="s">
        <v>29</v>
      </c>
      <c r="Q663">
        <v>0</v>
      </c>
    </row>
    <row r="664" spans="1:17" x14ac:dyDescent="0.25">
      <c r="A664">
        <v>663</v>
      </c>
      <c r="B664" t="s">
        <v>4266</v>
      </c>
      <c r="C664" s="2">
        <v>25330</v>
      </c>
      <c r="D664">
        <v>57</v>
      </c>
      <c r="E664" t="s">
        <v>4267</v>
      </c>
      <c r="F664" s="1" t="s">
        <v>241</v>
      </c>
      <c r="G664" t="s">
        <v>242</v>
      </c>
      <c r="H664" t="s">
        <v>81</v>
      </c>
      <c r="I664" s="1" t="s">
        <v>4268</v>
      </c>
      <c r="J664" s="1" t="s">
        <v>4269</v>
      </c>
      <c r="K664" t="s">
        <v>4270</v>
      </c>
      <c r="L664" t="s">
        <v>4271</v>
      </c>
      <c r="M664" t="s">
        <v>33</v>
      </c>
      <c r="N664" t="s">
        <v>21</v>
      </c>
      <c r="O664" t="s">
        <v>59</v>
      </c>
      <c r="P664" t="s">
        <v>23</v>
      </c>
      <c r="Q664">
        <v>1</v>
      </c>
    </row>
    <row r="665" spans="1:17" x14ac:dyDescent="0.25">
      <c r="A665">
        <v>664</v>
      </c>
      <c r="B665" t="s">
        <v>4272</v>
      </c>
      <c r="C665" s="2">
        <v>33812</v>
      </c>
      <c r="D665">
        <v>34</v>
      </c>
      <c r="E665" t="s">
        <v>4273</v>
      </c>
      <c r="F665" s="1" t="s">
        <v>292</v>
      </c>
      <c r="G665" t="s">
        <v>293</v>
      </c>
      <c r="H665" t="s">
        <v>26</v>
      </c>
      <c r="I665" s="1" t="s">
        <v>4274</v>
      </c>
      <c r="J665" s="1" t="s">
        <v>4275</v>
      </c>
      <c r="K665" t="s">
        <v>4276</v>
      </c>
      <c r="L665" t="s">
        <v>4277</v>
      </c>
      <c r="M665" t="s">
        <v>48</v>
      </c>
      <c r="N665" t="s">
        <v>54</v>
      </c>
      <c r="O665" t="s">
        <v>22</v>
      </c>
      <c r="P665" t="s">
        <v>23</v>
      </c>
      <c r="Q665">
        <v>1</v>
      </c>
    </row>
    <row r="666" spans="1:17" x14ac:dyDescent="0.25">
      <c r="A666">
        <v>665</v>
      </c>
      <c r="B666" t="s">
        <v>4278</v>
      </c>
      <c r="C666" s="2">
        <v>26502</v>
      </c>
      <c r="D666">
        <v>54</v>
      </c>
      <c r="E666" t="s">
        <v>4279</v>
      </c>
      <c r="F666" s="1" t="s">
        <v>83</v>
      </c>
      <c r="G666" t="s">
        <v>84</v>
      </c>
      <c r="H666" t="s">
        <v>26</v>
      </c>
      <c r="I666" s="1" t="s">
        <v>4280</v>
      </c>
      <c r="J666" s="1" t="s">
        <v>4281</v>
      </c>
      <c r="K666" t="s">
        <v>4282</v>
      </c>
      <c r="L666" t="s">
        <v>4283</v>
      </c>
      <c r="M666" t="s">
        <v>27</v>
      </c>
      <c r="N666" t="s">
        <v>34</v>
      </c>
      <c r="O666" t="s">
        <v>22</v>
      </c>
      <c r="P666" t="s">
        <v>23</v>
      </c>
      <c r="Q666">
        <v>1</v>
      </c>
    </row>
    <row r="667" spans="1:17" x14ac:dyDescent="0.25">
      <c r="A667">
        <v>666</v>
      </c>
      <c r="B667" t="s">
        <v>4284</v>
      </c>
      <c r="C667" s="2">
        <v>33704</v>
      </c>
      <c r="D667">
        <v>34</v>
      </c>
      <c r="E667" t="s">
        <v>4285</v>
      </c>
      <c r="F667" s="1" t="s">
        <v>187</v>
      </c>
      <c r="G667" t="s">
        <v>188</v>
      </c>
      <c r="H667" t="s">
        <v>110</v>
      </c>
      <c r="I667" s="1" t="s">
        <v>4286</v>
      </c>
      <c r="J667" s="1" t="s">
        <v>4287</v>
      </c>
      <c r="K667" t="s">
        <v>4288</v>
      </c>
      <c r="L667" t="s">
        <v>4289</v>
      </c>
      <c r="M667" t="s">
        <v>27</v>
      </c>
      <c r="N667" t="s">
        <v>28</v>
      </c>
      <c r="O667" t="s">
        <v>50</v>
      </c>
      <c r="P667" t="s">
        <v>23</v>
      </c>
      <c r="Q667">
        <v>1</v>
      </c>
    </row>
    <row r="668" spans="1:17" x14ac:dyDescent="0.25">
      <c r="A668">
        <v>667</v>
      </c>
      <c r="B668" t="s">
        <v>4290</v>
      </c>
      <c r="C668" s="2">
        <v>26366</v>
      </c>
      <c r="D668">
        <v>54</v>
      </c>
      <c r="E668" t="s">
        <v>4291</v>
      </c>
      <c r="F668" s="1" t="s">
        <v>92</v>
      </c>
      <c r="G668" t="s">
        <v>93</v>
      </c>
      <c r="H668" t="s">
        <v>38</v>
      </c>
      <c r="I668" s="1" t="s">
        <v>4292</v>
      </c>
      <c r="J668" s="1" t="s">
        <v>4293</v>
      </c>
      <c r="K668" t="s">
        <v>4294</v>
      </c>
      <c r="L668" t="s">
        <v>4295</v>
      </c>
      <c r="M668" t="s">
        <v>27</v>
      </c>
      <c r="N668" t="s">
        <v>66</v>
      </c>
      <c r="O668" t="s">
        <v>50</v>
      </c>
      <c r="P668" t="s">
        <v>23</v>
      </c>
      <c r="Q668">
        <v>1</v>
      </c>
    </row>
    <row r="669" spans="1:17" x14ac:dyDescent="0.25">
      <c r="A669">
        <v>668</v>
      </c>
      <c r="B669" t="s">
        <v>4296</v>
      </c>
      <c r="C669" s="2">
        <v>24843</v>
      </c>
      <c r="D669">
        <v>58</v>
      </c>
      <c r="E669" t="s">
        <v>4297</v>
      </c>
      <c r="F669" s="1" t="s">
        <v>228</v>
      </c>
      <c r="G669" t="s">
        <v>229</v>
      </c>
      <c r="H669" t="s">
        <v>126</v>
      </c>
      <c r="I669" s="1" t="s">
        <v>4298</v>
      </c>
      <c r="J669" s="1" t="s">
        <v>4299</v>
      </c>
      <c r="K669" t="s">
        <v>4300</v>
      </c>
      <c r="L669" t="s">
        <v>4301</v>
      </c>
      <c r="M669" t="s">
        <v>27</v>
      </c>
      <c r="N669" t="s">
        <v>28</v>
      </c>
      <c r="O669" t="s">
        <v>59</v>
      </c>
      <c r="P669" t="s">
        <v>29</v>
      </c>
      <c r="Q669">
        <v>0</v>
      </c>
    </row>
    <row r="670" spans="1:17" x14ac:dyDescent="0.25">
      <c r="A670">
        <v>669</v>
      </c>
      <c r="B670" t="s">
        <v>4302</v>
      </c>
      <c r="C670" s="2">
        <v>25633</v>
      </c>
      <c r="D670">
        <v>56</v>
      </c>
      <c r="E670" t="s">
        <v>4303</v>
      </c>
      <c r="F670" s="1" t="s">
        <v>45</v>
      </c>
      <c r="G670" t="s">
        <v>46</v>
      </c>
      <c r="H670" t="s">
        <v>47</v>
      </c>
      <c r="I670" s="1" t="s">
        <v>4304</v>
      </c>
      <c r="J670" s="1" t="s">
        <v>4305</v>
      </c>
      <c r="K670" t="s">
        <v>4306</v>
      </c>
      <c r="L670" t="s">
        <v>4307</v>
      </c>
      <c r="M670" t="s">
        <v>48</v>
      </c>
      <c r="N670" t="s">
        <v>72</v>
      </c>
      <c r="O670" t="s">
        <v>59</v>
      </c>
      <c r="P670" t="s">
        <v>23</v>
      </c>
      <c r="Q670">
        <v>7</v>
      </c>
    </row>
    <row r="671" spans="1:17" x14ac:dyDescent="0.25">
      <c r="A671">
        <v>670</v>
      </c>
      <c r="B671" t="s">
        <v>4308</v>
      </c>
      <c r="C671" s="2">
        <v>26431</v>
      </c>
      <c r="D671">
        <v>54</v>
      </c>
      <c r="E671" t="s">
        <v>4309</v>
      </c>
      <c r="F671" s="1" t="s">
        <v>117</v>
      </c>
      <c r="G671" t="s">
        <v>118</v>
      </c>
      <c r="H671" t="s">
        <v>119</v>
      </c>
      <c r="I671" s="1" t="s">
        <v>4310</v>
      </c>
      <c r="J671" s="1" t="s">
        <v>4311</v>
      </c>
      <c r="K671" t="s">
        <v>4312</v>
      </c>
      <c r="L671" t="s">
        <v>4313</v>
      </c>
      <c r="M671" t="s">
        <v>27</v>
      </c>
      <c r="N671" t="s">
        <v>21</v>
      </c>
      <c r="O671" t="s">
        <v>22</v>
      </c>
      <c r="P671" t="s">
        <v>23</v>
      </c>
      <c r="Q671">
        <v>1</v>
      </c>
    </row>
    <row r="672" spans="1:17" x14ac:dyDescent="0.25">
      <c r="A672">
        <v>671</v>
      </c>
      <c r="B672" t="s">
        <v>4314</v>
      </c>
      <c r="C672" s="2">
        <v>29743</v>
      </c>
      <c r="D672">
        <v>45</v>
      </c>
      <c r="E672" t="s">
        <v>4315</v>
      </c>
      <c r="F672" s="1" t="s">
        <v>55</v>
      </c>
      <c r="G672" t="s">
        <v>56</v>
      </c>
      <c r="H672" t="s">
        <v>57</v>
      </c>
      <c r="I672" s="1" t="s">
        <v>4316</v>
      </c>
      <c r="J672" s="1" t="s">
        <v>4317</v>
      </c>
      <c r="K672" t="s">
        <v>4318</v>
      </c>
      <c r="L672" t="s">
        <v>4319</v>
      </c>
      <c r="M672" t="s">
        <v>27</v>
      </c>
      <c r="N672" t="s">
        <v>49</v>
      </c>
      <c r="O672" t="s">
        <v>22</v>
      </c>
      <c r="P672" t="s">
        <v>23</v>
      </c>
      <c r="Q672">
        <v>2</v>
      </c>
    </row>
    <row r="673" spans="1:17" x14ac:dyDescent="0.25">
      <c r="A673">
        <v>672</v>
      </c>
      <c r="B673" t="s">
        <v>4320</v>
      </c>
      <c r="C673" s="2">
        <v>26259</v>
      </c>
      <c r="D673">
        <v>55</v>
      </c>
      <c r="E673" t="s">
        <v>4321</v>
      </c>
      <c r="F673" s="1" t="s">
        <v>266</v>
      </c>
      <c r="G673" t="s">
        <v>267</v>
      </c>
      <c r="H673" t="s">
        <v>65</v>
      </c>
      <c r="I673" s="1" t="s">
        <v>4322</v>
      </c>
      <c r="J673" s="1" t="s">
        <v>4323</v>
      </c>
      <c r="K673" t="s">
        <v>4324</v>
      </c>
      <c r="L673" t="s">
        <v>4325</v>
      </c>
      <c r="M673" t="s">
        <v>27</v>
      </c>
      <c r="N673" t="s">
        <v>44</v>
      </c>
      <c r="O673" t="s">
        <v>35</v>
      </c>
      <c r="P673" t="s">
        <v>29</v>
      </c>
      <c r="Q673">
        <v>0</v>
      </c>
    </row>
    <row r="674" spans="1:17" x14ac:dyDescent="0.25">
      <c r="A674">
        <v>673</v>
      </c>
      <c r="B674" t="s">
        <v>4326</v>
      </c>
      <c r="C674" s="2">
        <v>39613</v>
      </c>
      <c r="D674">
        <v>18</v>
      </c>
      <c r="E674" t="s">
        <v>4327</v>
      </c>
      <c r="F674" s="1" t="s">
        <v>255</v>
      </c>
      <c r="G674" t="s">
        <v>256</v>
      </c>
      <c r="H674" t="s">
        <v>257</v>
      </c>
      <c r="I674" s="1" t="s">
        <v>4328</v>
      </c>
      <c r="J674" s="1" t="s">
        <v>4329</v>
      </c>
      <c r="K674" t="s">
        <v>4330</v>
      </c>
      <c r="L674" t="s">
        <v>4331</v>
      </c>
      <c r="M674" t="s">
        <v>27</v>
      </c>
      <c r="N674" t="s">
        <v>82</v>
      </c>
      <c r="O674" t="s">
        <v>50</v>
      </c>
      <c r="P674" t="s">
        <v>23</v>
      </c>
      <c r="Q674">
        <v>1</v>
      </c>
    </row>
    <row r="675" spans="1:17" x14ac:dyDescent="0.25">
      <c r="A675">
        <v>674</v>
      </c>
      <c r="B675" t="s">
        <v>4332</v>
      </c>
      <c r="C675" s="2">
        <v>34658</v>
      </c>
      <c r="D675">
        <v>32</v>
      </c>
      <c r="E675" t="s">
        <v>4333</v>
      </c>
      <c r="F675" s="1" t="s">
        <v>117</v>
      </c>
      <c r="G675" t="s">
        <v>118</v>
      </c>
      <c r="H675" t="s">
        <v>119</v>
      </c>
      <c r="I675" s="1" t="s">
        <v>4334</v>
      </c>
      <c r="J675" s="1" t="s">
        <v>4335</v>
      </c>
      <c r="K675" t="s">
        <v>4336</v>
      </c>
      <c r="L675" t="s">
        <v>4337</v>
      </c>
      <c r="M675" t="s">
        <v>48</v>
      </c>
      <c r="N675" t="s">
        <v>114</v>
      </c>
      <c r="O675" t="s">
        <v>22</v>
      </c>
      <c r="P675" t="s">
        <v>23</v>
      </c>
      <c r="Q675">
        <v>1</v>
      </c>
    </row>
    <row r="676" spans="1:17" x14ac:dyDescent="0.25">
      <c r="A676">
        <v>675</v>
      </c>
      <c r="B676" t="s">
        <v>4338</v>
      </c>
      <c r="C676" s="2">
        <v>28058</v>
      </c>
      <c r="D676">
        <v>50</v>
      </c>
      <c r="E676" t="s">
        <v>4339</v>
      </c>
      <c r="F676" s="1" t="s">
        <v>63</v>
      </c>
      <c r="G676" t="s">
        <v>64</v>
      </c>
      <c r="H676" t="s">
        <v>65</v>
      </c>
      <c r="I676" s="1" t="s">
        <v>4340</v>
      </c>
      <c r="J676" s="1" t="s">
        <v>4341</v>
      </c>
      <c r="K676" t="s">
        <v>4342</v>
      </c>
      <c r="L676" t="s">
        <v>4343</v>
      </c>
      <c r="M676" t="s">
        <v>27</v>
      </c>
      <c r="N676" t="s">
        <v>67</v>
      </c>
      <c r="O676" t="s">
        <v>59</v>
      </c>
      <c r="P676" t="s">
        <v>23</v>
      </c>
      <c r="Q676">
        <v>1</v>
      </c>
    </row>
    <row r="677" spans="1:17" x14ac:dyDescent="0.25">
      <c r="A677">
        <v>676</v>
      </c>
      <c r="B677" t="s">
        <v>4344</v>
      </c>
      <c r="C677" s="2">
        <v>36476</v>
      </c>
      <c r="D677">
        <v>27</v>
      </c>
      <c r="E677" t="s">
        <v>4345</v>
      </c>
      <c r="F677" s="1" t="s">
        <v>148</v>
      </c>
      <c r="G677" t="s">
        <v>149</v>
      </c>
      <c r="H677" t="s">
        <v>71</v>
      </c>
      <c r="I677" s="1" t="s">
        <v>4346</v>
      </c>
      <c r="J677" s="1" t="s">
        <v>4347</v>
      </c>
      <c r="K677" t="s">
        <v>4348</v>
      </c>
      <c r="L677" t="s">
        <v>296</v>
      </c>
      <c r="M677" t="s">
        <v>33</v>
      </c>
      <c r="N677" t="s">
        <v>106</v>
      </c>
      <c r="O677" t="s">
        <v>40</v>
      </c>
      <c r="P677" t="s">
        <v>29</v>
      </c>
      <c r="Q677">
        <v>0</v>
      </c>
    </row>
    <row r="678" spans="1:17" x14ac:dyDescent="0.25">
      <c r="A678">
        <v>677</v>
      </c>
      <c r="B678" t="s">
        <v>4349</v>
      </c>
      <c r="C678" s="2">
        <v>28148</v>
      </c>
      <c r="D678">
        <v>49</v>
      </c>
      <c r="E678" t="s">
        <v>4350</v>
      </c>
      <c r="F678" s="1" t="s">
        <v>270</v>
      </c>
      <c r="G678" t="s">
        <v>271</v>
      </c>
      <c r="H678" t="s">
        <v>81</v>
      </c>
      <c r="I678" s="1" t="s">
        <v>4351</v>
      </c>
      <c r="J678" s="1" t="s">
        <v>4352</v>
      </c>
      <c r="K678" t="s">
        <v>4353</v>
      </c>
      <c r="L678" t="s">
        <v>4354</v>
      </c>
      <c r="M678" t="s">
        <v>27</v>
      </c>
      <c r="N678" t="s">
        <v>66</v>
      </c>
      <c r="O678" t="s">
        <v>59</v>
      </c>
      <c r="P678" t="s">
        <v>23</v>
      </c>
      <c r="Q678">
        <v>7</v>
      </c>
    </row>
    <row r="679" spans="1:17" x14ac:dyDescent="0.25">
      <c r="A679">
        <v>678</v>
      </c>
      <c r="B679" t="s">
        <v>4355</v>
      </c>
      <c r="C679" s="2">
        <v>24552</v>
      </c>
      <c r="D679">
        <v>59</v>
      </c>
      <c r="E679" t="s">
        <v>4356</v>
      </c>
      <c r="F679" s="1" t="s">
        <v>73</v>
      </c>
      <c r="G679" t="s">
        <v>74</v>
      </c>
      <c r="H679" t="s">
        <v>38</v>
      </c>
      <c r="I679" s="1" t="s">
        <v>4357</v>
      </c>
      <c r="J679" s="1" t="s">
        <v>4358</v>
      </c>
      <c r="K679" t="s">
        <v>4359</v>
      </c>
      <c r="L679" t="s">
        <v>4360</v>
      </c>
      <c r="M679" t="s">
        <v>48</v>
      </c>
      <c r="N679" t="s">
        <v>106</v>
      </c>
      <c r="O679" t="s">
        <v>50</v>
      </c>
      <c r="P679" t="s">
        <v>29</v>
      </c>
      <c r="Q679">
        <v>0</v>
      </c>
    </row>
    <row r="680" spans="1:17" x14ac:dyDescent="0.25">
      <c r="A680">
        <v>679</v>
      </c>
      <c r="B680" t="s">
        <v>4361</v>
      </c>
      <c r="C680" s="2">
        <v>30501</v>
      </c>
      <c r="D680">
        <v>43</v>
      </c>
      <c r="E680" t="s">
        <v>4362</v>
      </c>
      <c r="F680" s="1" t="s">
        <v>204</v>
      </c>
      <c r="G680" t="s">
        <v>205</v>
      </c>
      <c r="H680" t="s">
        <v>26</v>
      </c>
      <c r="I680" s="1" t="s">
        <v>4363</v>
      </c>
      <c r="J680" s="1" t="s">
        <v>4364</v>
      </c>
      <c r="K680" t="s">
        <v>4365</v>
      </c>
      <c r="L680" t="s">
        <v>4366</v>
      </c>
      <c r="M680" t="s">
        <v>33</v>
      </c>
      <c r="N680" t="s">
        <v>72</v>
      </c>
      <c r="O680" t="s">
        <v>50</v>
      </c>
      <c r="P680" t="s">
        <v>23</v>
      </c>
      <c r="Q680">
        <v>7</v>
      </c>
    </row>
    <row r="681" spans="1:17" x14ac:dyDescent="0.25">
      <c r="A681">
        <v>680</v>
      </c>
      <c r="B681" t="s">
        <v>4367</v>
      </c>
      <c r="C681" s="2">
        <v>34121</v>
      </c>
      <c r="D681">
        <v>33</v>
      </c>
      <c r="E681" t="s">
        <v>4368</v>
      </c>
      <c r="F681" s="1" t="s">
        <v>230</v>
      </c>
      <c r="G681" t="s">
        <v>231</v>
      </c>
      <c r="H681" t="s">
        <v>62</v>
      </c>
      <c r="I681" s="1" t="s">
        <v>4369</v>
      </c>
      <c r="J681" s="1" t="s">
        <v>4370</v>
      </c>
      <c r="K681" t="s">
        <v>4371</v>
      </c>
      <c r="L681" t="s">
        <v>4372</v>
      </c>
      <c r="M681" t="s">
        <v>27</v>
      </c>
      <c r="N681" t="s">
        <v>39</v>
      </c>
      <c r="O681" t="s">
        <v>40</v>
      </c>
      <c r="P681" t="s">
        <v>23</v>
      </c>
      <c r="Q681">
        <v>1</v>
      </c>
    </row>
    <row r="682" spans="1:17" x14ac:dyDescent="0.25">
      <c r="A682">
        <v>681</v>
      </c>
      <c r="B682" t="s">
        <v>4373</v>
      </c>
      <c r="C682" s="2">
        <v>28803</v>
      </c>
      <c r="D682">
        <v>48</v>
      </c>
      <c r="E682" t="s">
        <v>4374</v>
      </c>
      <c r="F682" s="1" t="s">
        <v>196</v>
      </c>
      <c r="G682" t="s">
        <v>197</v>
      </c>
      <c r="H682" t="s">
        <v>57</v>
      </c>
      <c r="I682" s="1" t="s">
        <v>4375</v>
      </c>
      <c r="J682" s="1" t="s">
        <v>4376</v>
      </c>
      <c r="K682" t="s">
        <v>4377</v>
      </c>
      <c r="L682" t="s">
        <v>4378</v>
      </c>
      <c r="M682" t="s">
        <v>48</v>
      </c>
      <c r="N682" t="s">
        <v>99</v>
      </c>
      <c r="O682" t="s">
        <v>40</v>
      </c>
      <c r="P682" t="s">
        <v>23</v>
      </c>
      <c r="Q682">
        <v>1</v>
      </c>
    </row>
    <row r="683" spans="1:17" x14ac:dyDescent="0.25">
      <c r="A683">
        <v>682</v>
      </c>
      <c r="B683" t="s">
        <v>4379</v>
      </c>
      <c r="C683" s="2">
        <v>32585</v>
      </c>
      <c r="D683">
        <v>37</v>
      </c>
      <c r="E683" t="s">
        <v>4380</v>
      </c>
      <c r="F683" s="1" t="s">
        <v>167</v>
      </c>
      <c r="G683" t="s">
        <v>168</v>
      </c>
      <c r="H683" t="s">
        <v>169</v>
      </c>
      <c r="I683" s="1" t="s">
        <v>4381</v>
      </c>
      <c r="J683" s="1" t="s">
        <v>4382</v>
      </c>
      <c r="K683" t="s">
        <v>4383</v>
      </c>
      <c r="L683" t="s">
        <v>4384</v>
      </c>
      <c r="M683" t="s">
        <v>33</v>
      </c>
      <c r="N683" t="s">
        <v>44</v>
      </c>
      <c r="O683" t="s">
        <v>59</v>
      </c>
      <c r="P683" t="s">
        <v>29</v>
      </c>
      <c r="Q683">
        <v>0</v>
      </c>
    </row>
    <row r="684" spans="1:17" x14ac:dyDescent="0.25">
      <c r="A684">
        <v>683</v>
      </c>
      <c r="B684" t="s">
        <v>4385</v>
      </c>
      <c r="C684" s="2">
        <v>38534</v>
      </c>
      <c r="D684">
        <v>21</v>
      </c>
      <c r="E684" t="s">
        <v>4386</v>
      </c>
      <c r="F684" s="1" t="s">
        <v>278</v>
      </c>
      <c r="G684" t="s">
        <v>279</v>
      </c>
      <c r="H684" t="s">
        <v>26</v>
      </c>
      <c r="I684" s="1" t="s">
        <v>4387</v>
      </c>
      <c r="J684" s="1" t="s">
        <v>4388</v>
      </c>
      <c r="K684" t="s">
        <v>4389</v>
      </c>
      <c r="L684" t="s">
        <v>4390</v>
      </c>
      <c r="M684" t="s">
        <v>48</v>
      </c>
      <c r="N684" t="s">
        <v>212</v>
      </c>
      <c r="O684" t="s">
        <v>40</v>
      </c>
      <c r="P684" t="s">
        <v>23</v>
      </c>
      <c r="Q684">
        <v>1</v>
      </c>
    </row>
    <row r="685" spans="1:17" x14ac:dyDescent="0.25">
      <c r="A685">
        <v>684</v>
      </c>
      <c r="B685" t="s">
        <v>4391</v>
      </c>
      <c r="C685" s="2">
        <v>37331</v>
      </c>
      <c r="D685">
        <v>24</v>
      </c>
      <c r="E685" t="s">
        <v>4392</v>
      </c>
      <c r="F685" s="1" t="s">
        <v>237</v>
      </c>
      <c r="G685" t="s">
        <v>238</v>
      </c>
      <c r="H685" t="s">
        <v>19</v>
      </c>
      <c r="I685" s="1" t="s">
        <v>4393</v>
      </c>
      <c r="J685" s="1" t="s">
        <v>4394</v>
      </c>
      <c r="K685" t="s">
        <v>4395</v>
      </c>
      <c r="L685" t="s">
        <v>4396</v>
      </c>
      <c r="M685" t="s">
        <v>27</v>
      </c>
      <c r="N685" t="s">
        <v>54</v>
      </c>
      <c r="O685" t="s">
        <v>35</v>
      </c>
      <c r="P685" t="s">
        <v>29</v>
      </c>
      <c r="Q685">
        <v>0</v>
      </c>
    </row>
    <row r="686" spans="1:17" x14ac:dyDescent="0.25">
      <c r="A686">
        <v>685</v>
      </c>
      <c r="B686" t="s">
        <v>4397</v>
      </c>
      <c r="C686" s="2">
        <v>35016</v>
      </c>
      <c r="D686">
        <v>31</v>
      </c>
      <c r="E686" t="s">
        <v>4398</v>
      </c>
      <c r="F686" s="1" t="s">
        <v>117</v>
      </c>
      <c r="G686" t="s">
        <v>118</v>
      </c>
      <c r="H686" t="s">
        <v>119</v>
      </c>
      <c r="I686" s="1" t="s">
        <v>4399</v>
      </c>
      <c r="J686" s="1" t="s">
        <v>4400</v>
      </c>
      <c r="K686" t="s">
        <v>4401</v>
      </c>
      <c r="L686" t="s">
        <v>4402</v>
      </c>
      <c r="M686" t="s">
        <v>27</v>
      </c>
      <c r="N686" t="s">
        <v>106</v>
      </c>
      <c r="O686" t="s">
        <v>22</v>
      </c>
      <c r="P686" t="s">
        <v>23</v>
      </c>
      <c r="Q686">
        <v>2</v>
      </c>
    </row>
    <row r="687" spans="1:17" x14ac:dyDescent="0.25">
      <c r="A687">
        <v>686</v>
      </c>
      <c r="B687" t="s">
        <v>4403</v>
      </c>
      <c r="C687" s="2">
        <v>29507</v>
      </c>
      <c r="D687">
        <v>46</v>
      </c>
      <c r="E687" t="s">
        <v>4404</v>
      </c>
      <c r="F687" s="1" t="s">
        <v>144</v>
      </c>
      <c r="G687" t="s">
        <v>145</v>
      </c>
      <c r="H687" t="s">
        <v>119</v>
      </c>
      <c r="I687" s="1" t="s">
        <v>4405</v>
      </c>
      <c r="J687" s="1" t="s">
        <v>4406</v>
      </c>
      <c r="K687" t="s">
        <v>4407</v>
      </c>
      <c r="L687" t="s">
        <v>4408</v>
      </c>
      <c r="M687" t="s">
        <v>48</v>
      </c>
      <c r="N687" t="s">
        <v>72</v>
      </c>
      <c r="O687" t="s">
        <v>59</v>
      </c>
      <c r="P687" t="s">
        <v>29</v>
      </c>
      <c r="Q687">
        <v>0</v>
      </c>
    </row>
    <row r="688" spans="1:17" x14ac:dyDescent="0.25">
      <c r="A688">
        <v>687</v>
      </c>
      <c r="B688" t="s">
        <v>4409</v>
      </c>
      <c r="C688" s="2">
        <v>31208</v>
      </c>
      <c r="D688">
        <v>41</v>
      </c>
      <c r="E688" t="s">
        <v>4410</v>
      </c>
      <c r="F688" s="1" t="s">
        <v>276</v>
      </c>
      <c r="G688" t="s">
        <v>277</v>
      </c>
      <c r="H688" t="s">
        <v>38</v>
      </c>
      <c r="I688" s="1" t="s">
        <v>4411</v>
      </c>
      <c r="J688" s="1" t="s">
        <v>4412</v>
      </c>
      <c r="K688" t="s">
        <v>4413</v>
      </c>
      <c r="L688" t="s">
        <v>4414</v>
      </c>
      <c r="M688" t="s">
        <v>48</v>
      </c>
      <c r="N688" t="s">
        <v>21</v>
      </c>
      <c r="O688" t="s">
        <v>50</v>
      </c>
      <c r="P688" t="s">
        <v>23</v>
      </c>
      <c r="Q688">
        <v>1</v>
      </c>
    </row>
    <row r="689" spans="1:17" x14ac:dyDescent="0.25">
      <c r="A689">
        <v>688</v>
      </c>
      <c r="B689" t="s">
        <v>4415</v>
      </c>
      <c r="C689" s="2">
        <v>31245</v>
      </c>
      <c r="D689">
        <v>41</v>
      </c>
      <c r="E689" t="s">
        <v>4416</v>
      </c>
      <c r="F689" s="1" t="s">
        <v>215</v>
      </c>
      <c r="G689" t="s">
        <v>216</v>
      </c>
      <c r="H689" t="s">
        <v>113</v>
      </c>
      <c r="I689" s="1" t="s">
        <v>4417</v>
      </c>
      <c r="J689" s="1" t="s">
        <v>4418</v>
      </c>
      <c r="K689" t="s">
        <v>4419</v>
      </c>
      <c r="L689" t="s">
        <v>4420</v>
      </c>
      <c r="M689" t="s">
        <v>27</v>
      </c>
      <c r="N689" t="s">
        <v>39</v>
      </c>
      <c r="O689" t="s">
        <v>50</v>
      </c>
      <c r="P689" t="s">
        <v>29</v>
      </c>
      <c r="Q689">
        <v>0</v>
      </c>
    </row>
    <row r="690" spans="1:17" x14ac:dyDescent="0.25">
      <c r="A690">
        <v>689</v>
      </c>
      <c r="B690" t="s">
        <v>4421</v>
      </c>
      <c r="C690" s="2">
        <v>32501</v>
      </c>
      <c r="D690">
        <v>38</v>
      </c>
      <c r="E690" t="s">
        <v>4422</v>
      </c>
      <c r="F690" s="1" t="s">
        <v>75</v>
      </c>
      <c r="G690" t="s">
        <v>76</v>
      </c>
      <c r="H690" t="s">
        <v>77</v>
      </c>
      <c r="I690" s="1" t="s">
        <v>4423</v>
      </c>
      <c r="J690" s="1" t="s">
        <v>4424</v>
      </c>
      <c r="K690" t="s">
        <v>4425</v>
      </c>
      <c r="L690" t="s">
        <v>4426</v>
      </c>
      <c r="M690" t="s">
        <v>48</v>
      </c>
      <c r="N690" t="s">
        <v>150</v>
      </c>
      <c r="O690" t="s">
        <v>59</v>
      </c>
      <c r="P690" t="s">
        <v>23</v>
      </c>
      <c r="Q690">
        <v>2</v>
      </c>
    </row>
    <row r="691" spans="1:17" x14ac:dyDescent="0.25">
      <c r="A691">
        <v>690</v>
      </c>
      <c r="B691" t="s">
        <v>4427</v>
      </c>
      <c r="C691" s="2">
        <v>26853</v>
      </c>
      <c r="D691">
        <v>53</v>
      </c>
      <c r="E691" t="s">
        <v>4428</v>
      </c>
      <c r="F691" s="1" t="s">
        <v>210</v>
      </c>
      <c r="G691" t="s">
        <v>211</v>
      </c>
      <c r="H691" t="s">
        <v>57</v>
      </c>
      <c r="I691" s="1" t="s">
        <v>4429</v>
      </c>
      <c r="J691" s="1" t="s">
        <v>4430</v>
      </c>
      <c r="K691" t="s">
        <v>4431</v>
      </c>
      <c r="L691" t="s">
        <v>4432</v>
      </c>
      <c r="M691" t="s">
        <v>27</v>
      </c>
      <c r="N691" t="s">
        <v>106</v>
      </c>
      <c r="O691" t="s">
        <v>22</v>
      </c>
      <c r="P691" t="s">
        <v>23</v>
      </c>
      <c r="Q691">
        <v>1</v>
      </c>
    </row>
    <row r="692" spans="1:17" x14ac:dyDescent="0.25">
      <c r="A692">
        <v>691</v>
      </c>
      <c r="B692" t="s">
        <v>4433</v>
      </c>
      <c r="C692" s="2">
        <v>39276</v>
      </c>
      <c r="D692">
        <v>19</v>
      </c>
      <c r="E692" t="s">
        <v>4434</v>
      </c>
      <c r="F692" s="1" t="s">
        <v>262</v>
      </c>
      <c r="G692" t="s">
        <v>263</v>
      </c>
      <c r="H692" t="s">
        <v>19</v>
      </c>
      <c r="I692" s="1" t="s">
        <v>4435</v>
      </c>
      <c r="J692" s="1" t="s">
        <v>4436</v>
      </c>
      <c r="K692" t="s">
        <v>4437</v>
      </c>
      <c r="L692" t="s">
        <v>4438</v>
      </c>
      <c r="M692" t="s">
        <v>68</v>
      </c>
      <c r="N692" t="s">
        <v>54</v>
      </c>
      <c r="O692" t="s">
        <v>50</v>
      </c>
      <c r="P692" t="s">
        <v>29</v>
      </c>
      <c r="Q692">
        <v>0</v>
      </c>
    </row>
    <row r="693" spans="1:17" x14ac:dyDescent="0.25">
      <c r="A693">
        <v>692</v>
      </c>
      <c r="B693" t="s">
        <v>4439</v>
      </c>
      <c r="C693" s="2">
        <v>27276</v>
      </c>
      <c r="D693">
        <v>52</v>
      </c>
      <c r="E693" t="s">
        <v>4440</v>
      </c>
      <c r="F693" s="1" t="s">
        <v>127</v>
      </c>
      <c r="G693" t="s">
        <v>128</v>
      </c>
      <c r="H693" t="s">
        <v>96</v>
      </c>
      <c r="I693" s="1" t="s">
        <v>4441</v>
      </c>
      <c r="J693" s="1" t="s">
        <v>4442</v>
      </c>
      <c r="K693" t="s">
        <v>4443</v>
      </c>
      <c r="L693" t="s">
        <v>4444</v>
      </c>
      <c r="M693" t="s">
        <v>48</v>
      </c>
      <c r="N693" t="s">
        <v>114</v>
      </c>
      <c r="O693" t="s">
        <v>50</v>
      </c>
      <c r="P693" t="s">
        <v>29</v>
      </c>
      <c r="Q693">
        <v>0</v>
      </c>
    </row>
    <row r="694" spans="1:17" x14ac:dyDescent="0.25">
      <c r="A694">
        <v>693</v>
      </c>
      <c r="B694" t="s">
        <v>4445</v>
      </c>
      <c r="C694" s="2">
        <v>29681</v>
      </c>
      <c r="D694">
        <v>45</v>
      </c>
      <c r="E694" t="s">
        <v>4446</v>
      </c>
      <c r="F694" s="1" t="s">
        <v>286</v>
      </c>
      <c r="G694" t="s">
        <v>287</v>
      </c>
      <c r="H694" t="s">
        <v>32</v>
      </c>
      <c r="I694" s="1" t="s">
        <v>4447</v>
      </c>
      <c r="J694" s="1" t="s">
        <v>4448</v>
      </c>
      <c r="K694" t="s">
        <v>4449</v>
      </c>
      <c r="L694" t="s">
        <v>4450</v>
      </c>
      <c r="M694" t="s">
        <v>27</v>
      </c>
      <c r="N694" t="s">
        <v>44</v>
      </c>
      <c r="O694" t="s">
        <v>35</v>
      </c>
      <c r="P694" t="s">
        <v>23</v>
      </c>
      <c r="Q694">
        <v>2</v>
      </c>
    </row>
    <row r="695" spans="1:17" x14ac:dyDescent="0.25">
      <c r="A695">
        <v>694</v>
      </c>
      <c r="B695" t="s">
        <v>4451</v>
      </c>
      <c r="C695" s="2">
        <v>36612</v>
      </c>
      <c r="D695">
        <v>26</v>
      </c>
      <c r="E695" t="s">
        <v>4452</v>
      </c>
      <c r="F695" s="1" t="s">
        <v>208</v>
      </c>
      <c r="G695" t="s">
        <v>209</v>
      </c>
      <c r="H695" t="s">
        <v>62</v>
      </c>
      <c r="I695" s="1" t="s">
        <v>4453</v>
      </c>
      <c r="J695" s="1" t="s">
        <v>4454</v>
      </c>
      <c r="K695" t="s">
        <v>4455</v>
      </c>
      <c r="L695" t="s">
        <v>4456</v>
      </c>
      <c r="M695" t="s">
        <v>27</v>
      </c>
      <c r="N695" t="s">
        <v>67</v>
      </c>
      <c r="O695" t="s">
        <v>22</v>
      </c>
      <c r="P695" t="s">
        <v>23</v>
      </c>
      <c r="Q695">
        <v>1</v>
      </c>
    </row>
    <row r="696" spans="1:17" x14ac:dyDescent="0.25">
      <c r="A696">
        <v>695</v>
      </c>
      <c r="B696" t="s">
        <v>4457</v>
      </c>
      <c r="C696" s="2">
        <v>29069</v>
      </c>
      <c r="D696">
        <v>47</v>
      </c>
      <c r="E696" t="s">
        <v>4458</v>
      </c>
      <c r="F696" s="1" t="s">
        <v>183</v>
      </c>
      <c r="G696" t="s">
        <v>184</v>
      </c>
      <c r="H696" t="s">
        <v>169</v>
      </c>
      <c r="I696" s="1" t="s">
        <v>4459</v>
      </c>
      <c r="J696" s="1" t="s">
        <v>4460</v>
      </c>
      <c r="K696" t="s">
        <v>4461</v>
      </c>
      <c r="L696" t="s">
        <v>4462</v>
      </c>
      <c r="M696" t="s">
        <v>48</v>
      </c>
      <c r="N696" t="s">
        <v>67</v>
      </c>
      <c r="O696" t="s">
        <v>50</v>
      </c>
      <c r="P696" t="s">
        <v>23</v>
      </c>
      <c r="Q696">
        <v>2</v>
      </c>
    </row>
    <row r="697" spans="1:17" x14ac:dyDescent="0.25">
      <c r="A697">
        <v>696</v>
      </c>
      <c r="B697" t="s">
        <v>4463</v>
      </c>
      <c r="C697" s="2">
        <v>29388</v>
      </c>
      <c r="D697">
        <v>46</v>
      </c>
      <c r="E697" t="s">
        <v>4464</v>
      </c>
      <c r="F697" s="1" t="s">
        <v>262</v>
      </c>
      <c r="G697" t="s">
        <v>263</v>
      </c>
      <c r="H697" t="s">
        <v>19</v>
      </c>
      <c r="I697" s="1" t="s">
        <v>4465</v>
      </c>
      <c r="J697" s="1" t="s">
        <v>4466</v>
      </c>
      <c r="K697" t="s">
        <v>4467</v>
      </c>
      <c r="L697" t="s">
        <v>4468</v>
      </c>
      <c r="M697" t="s">
        <v>33</v>
      </c>
      <c r="N697" t="s">
        <v>34</v>
      </c>
      <c r="O697" t="s">
        <v>35</v>
      </c>
      <c r="P697" t="s">
        <v>29</v>
      </c>
      <c r="Q697">
        <v>0</v>
      </c>
    </row>
    <row r="698" spans="1:17" x14ac:dyDescent="0.25">
      <c r="A698">
        <v>697</v>
      </c>
      <c r="B698" t="s">
        <v>4469</v>
      </c>
      <c r="C698" s="2">
        <v>31886</v>
      </c>
      <c r="D698">
        <v>39</v>
      </c>
      <c r="E698" t="s">
        <v>4470</v>
      </c>
      <c r="F698" s="1" t="s">
        <v>202</v>
      </c>
      <c r="G698" t="s">
        <v>203</v>
      </c>
      <c r="H698" t="s">
        <v>43</v>
      </c>
      <c r="I698" s="1" t="s">
        <v>4471</v>
      </c>
      <c r="J698" s="1" t="s">
        <v>4472</v>
      </c>
      <c r="K698" t="s">
        <v>4473</v>
      </c>
      <c r="L698" t="s">
        <v>4474</v>
      </c>
      <c r="M698" t="s">
        <v>48</v>
      </c>
      <c r="N698" t="s">
        <v>88</v>
      </c>
      <c r="O698" t="s">
        <v>50</v>
      </c>
      <c r="P698" t="s">
        <v>23</v>
      </c>
      <c r="Q698">
        <v>1</v>
      </c>
    </row>
    <row r="699" spans="1:17" x14ac:dyDescent="0.25">
      <c r="A699">
        <v>698</v>
      </c>
      <c r="B699" t="s">
        <v>4475</v>
      </c>
      <c r="C699" s="2">
        <v>24156</v>
      </c>
      <c r="D699">
        <v>60</v>
      </c>
      <c r="E699" t="s">
        <v>4476</v>
      </c>
      <c r="F699" s="1" t="s">
        <v>136</v>
      </c>
      <c r="G699" t="s">
        <v>137</v>
      </c>
      <c r="H699" t="s">
        <v>65</v>
      </c>
      <c r="I699" s="1" t="s">
        <v>4477</v>
      </c>
      <c r="J699" s="1" t="s">
        <v>4478</v>
      </c>
      <c r="K699" t="s">
        <v>4479</v>
      </c>
      <c r="L699" t="s">
        <v>4480</v>
      </c>
      <c r="M699" t="s">
        <v>27</v>
      </c>
      <c r="N699" t="s">
        <v>99</v>
      </c>
      <c r="O699" t="s">
        <v>40</v>
      </c>
      <c r="P699" t="s">
        <v>23</v>
      </c>
      <c r="Q699">
        <v>1</v>
      </c>
    </row>
    <row r="700" spans="1:17" x14ac:dyDescent="0.25">
      <c r="A700">
        <v>699</v>
      </c>
      <c r="B700" t="s">
        <v>4481</v>
      </c>
      <c r="C700" s="2">
        <v>37026</v>
      </c>
      <c r="D700">
        <v>25</v>
      </c>
      <c r="E700" t="s">
        <v>4482</v>
      </c>
      <c r="F700" s="1" t="s">
        <v>245</v>
      </c>
      <c r="G700" t="s">
        <v>246</v>
      </c>
      <c r="H700" t="s">
        <v>96</v>
      </c>
      <c r="I700" s="1" t="s">
        <v>4483</v>
      </c>
      <c r="J700" s="1" t="s">
        <v>4484</v>
      </c>
      <c r="K700" t="s">
        <v>4485</v>
      </c>
      <c r="L700" t="s">
        <v>4486</v>
      </c>
      <c r="M700" t="s">
        <v>48</v>
      </c>
      <c r="N700" t="s">
        <v>106</v>
      </c>
      <c r="O700" t="s">
        <v>35</v>
      </c>
      <c r="P700" t="s">
        <v>29</v>
      </c>
      <c r="Q700">
        <v>0</v>
      </c>
    </row>
    <row r="701" spans="1:17" x14ac:dyDescent="0.25">
      <c r="A701">
        <v>700</v>
      </c>
      <c r="B701" t="s">
        <v>4487</v>
      </c>
      <c r="C701" s="2">
        <v>27602</v>
      </c>
      <c r="D701">
        <v>51</v>
      </c>
      <c r="E701" t="s">
        <v>4488</v>
      </c>
      <c r="F701" s="1" t="s">
        <v>163</v>
      </c>
      <c r="G701" t="s">
        <v>164</v>
      </c>
      <c r="H701" t="s">
        <v>32</v>
      </c>
      <c r="I701" s="1" t="s">
        <v>4489</v>
      </c>
      <c r="J701" s="1" t="s">
        <v>4490</v>
      </c>
      <c r="K701" t="s">
        <v>4491</v>
      </c>
      <c r="L701" t="s">
        <v>4492</v>
      </c>
      <c r="M701" t="s">
        <v>27</v>
      </c>
      <c r="N701" t="s">
        <v>28</v>
      </c>
      <c r="O701" t="s">
        <v>59</v>
      </c>
      <c r="P701" t="s">
        <v>23</v>
      </c>
      <c r="Q701">
        <v>1</v>
      </c>
    </row>
    <row r="702" spans="1:17" x14ac:dyDescent="0.25">
      <c r="A702">
        <v>701</v>
      </c>
      <c r="B702" t="s">
        <v>4493</v>
      </c>
      <c r="C702" s="2">
        <v>37249</v>
      </c>
      <c r="D702">
        <v>25</v>
      </c>
      <c r="E702" t="s">
        <v>4494</v>
      </c>
      <c r="F702" s="1" t="s">
        <v>148</v>
      </c>
      <c r="G702" t="s">
        <v>149</v>
      </c>
      <c r="H702" t="s">
        <v>71</v>
      </c>
      <c r="I702" s="1" t="s">
        <v>4495</v>
      </c>
      <c r="J702" s="1" t="s">
        <v>4496</v>
      </c>
      <c r="K702" t="s">
        <v>4497</v>
      </c>
      <c r="L702" t="s">
        <v>4498</v>
      </c>
      <c r="M702" t="s">
        <v>48</v>
      </c>
      <c r="N702" t="s">
        <v>67</v>
      </c>
      <c r="O702" t="s">
        <v>59</v>
      </c>
      <c r="P702" t="s">
        <v>23</v>
      </c>
      <c r="Q702">
        <v>1</v>
      </c>
    </row>
    <row r="703" spans="1:17" x14ac:dyDescent="0.25">
      <c r="A703">
        <v>702</v>
      </c>
      <c r="B703" t="s">
        <v>4499</v>
      </c>
      <c r="C703" s="2">
        <v>35539</v>
      </c>
      <c r="D703">
        <v>29</v>
      </c>
      <c r="E703" t="s">
        <v>4500</v>
      </c>
      <c r="F703" s="1" t="s">
        <v>75</v>
      </c>
      <c r="G703" t="s">
        <v>76</v>
      </c>
      <c r="H703" t="s">
        <v>77</v>
      </c>
      <c r="I703" s="1" t="s">
        <v>4501</v>
      </c>
      <c r="J703" s="1" t="s">
        <v>4502</v>
      </c>
      <c r="K703" t="s">
        <v>4503</v>
      </c>
      <c r="L703" t="s">
        <v>4504</v>
      </c>
      <c r="M703" t="s">
        <v>68</v>
      </c>
      <c r="N703" t="s">
        <v>34</v>
      </c>
      <c r="O703" t="s">
        <v>59</v>
      </c>
      <c r="P703" t="s">
        <v>23</v>
      </c>
      <c r="Q703">
        <v>4</v>
      </c>
    </row>
    <row r="704" spans="1:17" x14ac:dyDescent="0.25">
      <c r="A704">
        <v>703</v>
      </c>
      <c r="B704" t="s">
        <v>4505</v>
      </c>
      <c r="C704" s="2">
        <v>24642</v>
      </c>
      <c r="D704">
        <v>59</v>
      </c>
      <c r="E704" t="s">
        <v>4506</v>
      </c>
      <c r="F704" s="1" t="s">
        <v>178</v>
      </c>
      <c r="G704" t="s">
        <v>179</v>
      </c>
      <c r="H704" t="s">
        <v>180</v>
      </c>
      <c r="I704" s="1" t="s">
        <v>4507</v>
      </c>
      <c r="J704" s="1" t="s">
        <v>4508</v>
      </c>
      <c r="K704" t="s">
        <v>4509</v>
      </c>
      <c r="L704" t="s">
        <v>4510</v>
      </c>
      <c r="M704" t="s">
        <v>48</v>
      </c>
      <c r="N704" t="s">
        <v>39</v>
      </c>
      <c r="O704" t="s">
        <v>50</v>
      </c>
      <c r="P704" t="s">
        <v>23</v>
      </c>
      <c r="Q704">
        <v>1</v>
      </c>
    </row>
    <row r="705" spans="1:17" x14ac:dyDescent="0.25">
      <c r="A705">
        <v>704</v>
      </c>
      <c r="B705" t="s">
        <v>4511</v>
      </c>
      <c r="C705" s="2">
        <v>23986</v>
      </c>
      <c r="D705">
        <v>61</v>
      </c>
      <c r="E705" t="s">
        <v>4512</v>
      </c>
      <c r="F705" s="1" t="s">
        <v>234</v>
      </c>
      <c r="G705" t="s">
        <v>235</v>
      </c>
      <c r="H705" t="s">
        <v>236</v>
      </c>
      <c r="I705" s="1" t="s">
        <v>4513</v>
      </c>
      <c r="J705" s="1" t="s">
        <v>4514</v>
      </c>
      <c r="K705" t="s">
        <v>4515</v>
      </c>
      <c r="L705" t="s">
        <v>4516</v>
      </c>
      <c r="M705" t="s">
        <v>27</v>
      </c>
      <c r="N705" t="s">
        <v>49</v>
      </c>
      <c r="O705" t="s">
        <v>59</v>
      </c>
      <c r="P705" t="s">
        <v>23</v>
      </c>
      <c r="Q705">
        <v>3</v>
      </c>
    </row>
    <row r="706" spans="1:17" x14ac:dyDescent="0.25">
      <c r="A706">
        <v>705</v>
      </c>
      <c r="B706" t="s">
        <v>4517</v>
      </c>
      <c r="C706" s="2">
        <v>34766</v>
      </c>
      <c r="D706">
        <v>31</v>
      </c>
      <c r="E706" t="s">
        <v>4518</v>
      </c>
      <c r="F706" s="1" t="s">
        <v>262</v>
      </c>
      <c r="G706" t="s">
        <v>263</v>
      </c>
      <c r="H706" t="s">
        <v>19</v>
      </c>
      <c r="I706" s="1" t="s">
        <v>4519</v>
      </c>
      <c r="J706" s="1" t="s">
        <v>4520</v>
      </c>
      <c r="K706" t="s">
        <v>4521</v>
      </c>
      <c r="L706" t="s">
        <v>4522</v>
      </c>
      <c r="M706" t="s">
        <v>27</v>
      </c>
      <c r="N706" t="s">
        <v>82</v>
      </c>
      <c r="O706" t="s">
        <v>50</v>
      </c>
      <c r="P706" t="s">
        <v>23</v>
      </c>
      <c r="Q706">
        <v>2</v>
      </c>
    </row>
    <row r="707" spans="1:17" x14ac:dyDescent="0.25">
      <c r="A707">
        <v>706</v>
      </c>
      <c r="B707" t="s">
        <v>4523</v>
      </c>
      <c r="C707" s="2">
        <v>34856</v>
      </c>
      <c r="D707">
        <v>31</v>
      </c>
      <c r="E707" t="s">
        <v>4524</v>
      </c>
      <c r="F707" s="1" t="s">
        <v>73</v>
      </c>
      <c r="G707" t="s">
        <v>74</v>
      </c>
      <c r="H707" t="s">
        <v>38</v>
      </c>
      <c r="I707" s="1" t="s">
        <v>4525</v>
      </c>
      <c r="J707" s="1" t="s">
        <v>4526</v>
      </c>
      <c r="K707" t="s">
        <v>4527</v>
      </c>
      <c r="L707" t="s">
        <v>4528</v>
      </c>
      <c r="M707" t="s">
        <v>27</v>
      </c>
      <c r="N707" t="s">
        <v>54</v>
      </c>
      <c r="O707" t="s">
        <v>22</v>
      </c>
      <c r="P707" t="s">
        <v>29</v>
      </c>
      <c r="Q707">
        <v>0</v>
      </c>
    </row>
    <row r="708" spans="1:17" x14ac:dyDescent="0.25">
      <c r="A708">
        <v>707</v>
      </c>
      <c r="B708" t="s">
        <v>4529</v>
      </c>
      <c r="C708" s="2">
        <v>35126</v>
      </c>
      <c r="D708">
        <v>30</v>
      </c>
      <c r="E708" t="s">
        <v>4530</v>
      </c>
      <c r="F708" s="1" t="s">
        <v>276</v>
      </c>
      <c r="G708" t="s">
        <v>277</v>
      </c>
      <c r="H708" t="s">
        <v>38</v>
      </c>
      <c r="I708" s="1" t="s">
        <v>4531</v>
      </c>
      <c r="J708" s="1" t="s">
        <v>4532</v>
      </c>
      <c r="K708" t="s">
        <v>4533</v>
      </c>
      <c r="L708" t="s">
        <v>4534</v>
      </c>
      <c r="M708" t="s">
        <v>27</v>
      </c>
      <c r="N708" t="s">
        <v>39</v>
      </c>
      <c r="O708" t="s">
        <v>50</v>
      </c>
      <c r="P708" t="s">
        <v>29</v>
      </c>
      <c r="Q708">
        <v>0</v>
      </c>
    </row>
    <row r="709" spans="1:17" x14ac:dyDescent="0.25">
      <c r="A709">
        <v>708</v>
      </c>
      <c r="B709" t="s">
        <v>4535</v>
      </c>
      <c r="C709" s="2">
        <v>32561</v>
      </c>
      <c r="D709">
        <v>37</v>
      </c>
      <c r="E709" t="s">
        <v>4536</v>
      </c>
      <c r="F709" s="1" t="s">
        <v>167</v>
      </c>
      <c r="G709" t="s">
        <v>168</v>
      </c>
      <c r="H709" t="s">
        <v>169</v>
      </c>
      <c r="I709" s="1" t="s">
        <v>4537</v>
      </c>
      <c r="J709" s="1" t="s">
        <v>4538</v>
      </c>
      <c r="K709" t="s">
        <v>4539</v>
      </c>
      <c r="L709" t="s">
        <v>4540</v>
      </c>
      <c r="M709" t="s">
        <v>68</v>
      </c>
      <c r="N709" t="s">
        <v>72</v>
      </c>
      <c r="O709" t="s">
        <v>40</v>
      </c>
      <c r="P709" t="s">
        <v>29</v>
      </c>
      <c r="Q709">
        <v>0</v>
      </c>
    </row>
    <row r="710" spans="1:17" x14ac:dyDescent="0.25">
      <c r="A710">
        <v>709</v>
      </c>
      <c r="B710" t="s">
        <v>4541</v>
      </c>
      <c r="C710" s="2">
        <v>26152</v>
      </c>
      <c r="D710">
        <v>55</v>
      </c>
      <c r="E710" t="s">
        <v>4542</v>
      </c>
      <c r="F710" s="1" t="s">
        <v>115</v>
      </c>
      <c r="G710" t="s">
        <v>116</v>
      </c>
      <c r="H710" t="s">
        <v>43</v>
      </c>
      <c r="I710" s="1" t="s">
        <v>4543</v>
      </c>
      <c r="J710" s="1" t="s">
        <v>4544</v>
      </c>
      <c r="K710" t="s">
        <v>4545</v>
      </c>
      <c r="L710" t="s">
        <v>4546</v>
      </c>
      <c r="M710" t="s">
        <v>48</v>
      </c>
      <c r="N710" t="s">
        <v>66</v>
      </c>
      <c r="O710" t="s">
        <v>59</v>
      </c>
      <c r="P710" t="s">
        <v>23</v>
      </c>
      <c r="Q710">
        <v>1</v>
      </c>
    </row>
    <row r="711" spans="1:17" x14ac:dyDescent="0.25">
      <c r="A711">
        <v>710</v>
      </c>
      <c r="B711" t="s">
        <v>4547</v>
      </c>
      <c r="C711" s="2">
        <v>28550</v>
      </c>
      <c r="D711">
        <v>48</v>
      </c>
      <c r="E711" t="s">
        <v>4548</v>
      </c>
      <c r="F711" s="1" t="s">
        <v>89</v>
      </c>
      <c r="G711" t="s">
        <v>90</v>
      </c>
      <c r="H711" t="s">
        <v>91</v>
      </c>
      <c r="I711" s="1" t="s">
        <v>4549</v>
      </c>
      <c r="J711" s="1" t="s">
        <v>4550</v>
      </c>
      <c r="K711" t="s">
        <v>4551</v>
      </c>
      <c r="L711" t="s">
        <v>4552</v>
      </c>
      <c r="M711" t="s">
        <v>27</v>
      </c>
      <c r="N711" t="s">
        <v>99</v>
      </c>
      <c r="O711" t="s">
        <v>50</v>
      </c>
      <c r="P711" t="s">
        <v>23</v>
      </c>
      <c r="Q711">
        <v>1</v>
      </c>
    </row>
    <row r="712" spans="1:17" x14ac:dyDescent="0.25">
      <c r="A712">
        <v>711</v>
      </c>
      <c r="B712" t="s">
        <v>4553</v>
      </c>
      <c r="C712" s="2">
        <v>25485</v>
      </c>
      <c r="D712">
        <v>57</v>
      </c>
      <c r="E712" t="s">
        <v>4554</v>
      </c>
      <c r="F712" s="1" t="s">
        <v>200</v>
      </c>
      <c r="G712" t="s">
        <v>201</v>
      </c>
      <c r="H712" t="s">
        <v>169</v>
      </c>
      <c r="I712" s="1" t="s">
        <v>4555</v>
      </c>
      <c r="J712" s="1" t="s">
        <v>4556</v>
      </c>
      <c r="K712" t="s">
        <v>4557</v>
      </c>
      <c r="L712" t="s">
        <v>4558</v>
      </c>
      <c r="M712" t="s">
        <v>48</v>
      </c>
      <c r="N712" t="s">
        <v>72</v>
      </c>
      <c r="O712" t="s">
        <v>22</v>
      </c>
      <c r="P712" t="s">
        <v>29</v>
      </c>
      <c r="Q712">
        <v>0</v>
      </c>
    </row>
    <row r="713" spans="1:17" x14ac:dyDescent="0.25">
      <c r="A713">
        <v>712</v>
      </c>
      <c r="B713" t="s">
        <v>4559</v>
      </c>
      <c r="C713" s="2">
        <v>27431</v>
      </c>
      <c r="D713">
        <v>51</v>
      </c>
      <c r="E713" t="s">
        <v>4560</v>
      </c>
      <c r="F713" s="1" t="s">
        <v>163</v>
      </c>
      <c r="G713" t="s">
        <v>164</v>
      </c>
      <c r="H713" t="s">
        <v>32</v>
      </c>
      <c r="I713" s="1" t="s">
        <v>4561</v>
      </c>
      <c r="J713" s="1" t="s">
        <v>4562</v>
      </c>
      <c r="K713" t="s">
        <v>4563</v>
      </c>
      <c r="L713" t="s">
        <v>4564</v>
      </c>
      <c r="M713" t="s">
        <v>27</v>
      </c>
      <c r="N713" t="s">
        <v>49</v>
      </c>
      <c r="O713" t="s">
        <v>35</v>
      </c>
      <c r="P713" t="s">
        <v>23</v>
      </c>
      <c r="Q713">
        <v>3</v>
      </c>
    </row>
    <row r="714" spans="1:17" x14ac:dyDescent="0.25">
      <c r="A714">
        <v>713</v>
      </c>
      <c r="B714" t="s">
        <v>4565</v>
      </c>
      <c r="C714" s="2">
        <v>29421</v>
      </c>
      <c r="D714">
        <v>46</v>
      </c>
      <c r="E714" t="s">
        <v>4566</v>
      </c>
      <c r="F714" s="1" t="s">
        <v>282</v>
      </c>
      <c r="G714" t="s">
        <v>283</v>
      </c>
      <c r="H714" t="s">
        <v>53</v>
      </c>
      <c r="I714" s="1" t="s">
        <v>4567</v>
      </c>
      <c r="J714" s="1" t="s">
        <v>4568</v>
      </c>
      <c r="K714" t="s">
        <v>4569</v>
      </c>
      <c r="L714" t="s">
        <v>4570</v>
      </c>
      <c r="M714" t="s">
        <v>27</v>
      </c>
      <c r="N714" t="s">
        <v>212</v>
      </c>
      <c r="O714" t="s">
        <v>35</v>
      </c>
      <c r="P714" t="s">
        <v>29</v>
      </c>
      <c r="Q714">
        <v>0</v>
      </c>
    </row>
    <row r="715" spans="1:17" x14ac:dyDescent="0.25">
      <c r="A715">
        <v>714</v>
      </c>
      <c r="B715" t="s">
        <v>4571</v>
      </c>
      <c r="C715" s="2">
        <v>37156</v>
      </c>
      <c r="D715">
        <v>25</v>
      </c>
      <c r="E715" t="s">
        <v>4572</v>
      </c>
      <c r="F715" s="1" t="s">
        <v>55</v>
      </c>
      <c r="G715" t="s">
        <v>56</v>
      </c>
      <c r="H715" t="s">
        <v>57</v>
      </c>
      <c r="I715" s="1" t="s">
        <v>4573</v>
      </c>
      <c r="J715" s="1" t="s">
        <v>4574</v>
      </c>
      <c r="K715" t="s">
        <v>4575</v>
      </c>
      <c r="L715" t="s">
        <v>4576</v>
      </c>
      <c r="M715" t="s">
        <v>27</v>
      </c>
      <c r="N715" t="s">
        <v>58</v>
      </c>
      <c r="O715" t="s">
        <v>59</v>
      </c>
      <c r="P715" t="s">
        <v>29</v>
      </c>
      <c r="Q715">
        <v>0</v>
      </c>
    </row>
    <row r="716" spans="1:17" x14ac:dyDescent="0.25">
      <c r="A716">
        <v>715</v>
      </c>
      <c r="B716" t="s">
        <v>4577</v>
      </c>
      <c r="C716" s="2">
        <v>39561</v>
      </c>
      <c r="D716">
        <v>18</v>
      </c>
      <c r="E716" t="s">
        <v>4578</v>
      </c>
      <c r="F716" s="1" t="s">
        <v>194</v>
      </c>
      <c r="G716" t="s">
        <v>195</v>
      </c>
      <c r="H716" t="s">
        <v>38</v>
      </c>
      <c r="I716" s="1" t="s">
        <v>4579</v>
      </c>
      <c r="J716" s="1" t="s">
        <v>4580</v>
      </c>
      <c r="K716" t="s">
        <v>4581</v>
      </c>
      <c r="L716" t="s">
        <v>4582</v>
      </c>
      <c r="M716" t="s">
        <v>27</v>
      </c>
      <c r="N716" t="s">
        <v>21</v>
      </c>
      <c r="O716" t="s">
        <v>50</v>
      </c>
      <c r="P716" t="s">
        <v>29</v>
      </c>
      <c r="Q716">
        <v>0</v>
      </c>
    </row>
    <row r="717" spans="1:17" x14ac:dyDescent="0.25">
      <c r="A717">
        <v>716</v>
      </c>
      <c r="B717" t="s">
        <v>4583</v>
      </c>
      <c r="C717" s="2">
        <v>29784</v>
      </c>
      <c r="D717">
        <v>45</v>
      </c>
      <c r="E717" t="s">
        <v>4584</v>
      </c>
      <c r="F717" s="1" t="s">
        <v>138</v>
      </c>
      <c r="G717" t="s">
        <v>139</v>
      </c>
      <c r="H717" t="s">
        <v>47</v>
      </c>
      <c r="I717" s="1" t="s">
        <v>4585</v>
      </c>
      <c r="J717" s="1" t="s">
        <v>4586</v>
      </c>
      <c r="K717" t="s">
        <v>4587</v>
      </c>
      <c r="L717" t="s">
        <v>4588</v>
      </c>
      <c r="M717" t="s">
        <v>48</v>
      </c>
      <c r="N717" t="s">
        <v>34</v>
      </c>
      <c r="O717" t="s">
        <v>59</v>
      </c>
      <c r="P717" t="s">
        <v>29</v>
      </c>
      <c r="Q717">
        <v>0</v>
      </c>
    </row>
    <row r="718" spans="1:17" x14ac:dyDescent="0.25">
      <c r="A718">
        <v>717</v>
      </c>
      <c r="B718" t="s">
        <v>4589</v>
      </c>
      <c r="C718" s="2">
        <v>36030</v>
      </c>
      <c r="D718">
        <v>28</v>
      </c>
      <c r="E718" t="s">
        <v>4590</v>
      </c>
      <c r="F718" s="1" t="s">
        <v>196</v>
      </c>
      <c r="G718" t="s">
        <v>197</v>
      </c>
      <c r="H718" t="s">
        <v>57</v>
      </c>
      <c r="I718" s="1" t="s">
        <v>4591</v>
      </c>
      <c r="J718" s="1" t="s">
        <v>4592</v>
      </c>
      <c r="K718" t="s">
        <v>4593</v>
      </c>
      <c r="L718" t="s">
        <v>4594</v>
      </c>
      <c r="M718" t="s">
        <v>27</v>
      </c>
      <c r="N718" t="s">
        <v>49</v>
      </c>
      <c r="O718" t="s">
        <v>40</v>
      </c>
      <c r="P718" t="s">
        <v>29</v>
      </c>
      <c r="Q718">
        <v>0</v>
      </c>
    </row>
    <row r="719" spans="1:17" x14ac:dyDescent="0.25">
      <c r="A719">
        <v>718</v>
      </c>
      <c r="B719" t="s">
        <v>4595</v>
      </c>
      <c r="C719" s="2">
        <v>25516</v>
      </c>
      <c r="D719">
        <v>57</v>
      </c>
      <c r="E719" t="s">
        <v>4596</v>
      </c>
      <c r="F719" s="1" t="s">
        <v>151</v>
      </c>
      <c r="G719" t="s">
        <v>152</v>
      </c>
      <c r="H719" t="s">
        <v>81</v>
      </c>
      <c r="I719" s="1" t="s">
        <v>4597</v>
      </c>
      <c r="J719" s="1" t="s">
        <v>4598</v>
      </c>
      <c r="K719" t="s">
        <v>4599</v>
      </c>
      <c r="L719" t="s">
        <v>4600</v>
      </c>
      <c r="M719" t="s">
        <v>27</v>
      </c>
      <c r="N719" t="s">
        <v>193</v>
      </c>
      <c r="O719" t="s">
        <v>35</v>
      </c>
      <c r="P719" t="s">
        <v>23</v>
      </c>
      <c r="Q719">
        <v>3</v>
      </c>
    </row>
    <row r="720" spans="1:17" x14ac:dyDescent="0.25">
      <c r="A720">
        <v>719</v>
      </c>
      <c r="B720" t="s">
        <v>4601</v>
      </c>
      <c r="C720" s="2">
        <v>32316</v>
      </c>
      <c r="D720">
        <v>38</v>
      </c>
      <c r="E720" t="s">
        <v>4602</v>
      </c>
      <c r="F720" s="1" t="s">
        <v>228</v>
      </c>
      <c r="G720" t="s">
        <v>229</v>
      </c>
      <c r="H720" t="s">
        <v>126</v>
      </c>
      <c r="I720" s="1" t="s">
        <v>4603</v>
      </c>
      <c r="J720" s="1" t="s">
        <v>4604</v>
      </c>
      <c r="K720" t="s">
        <v>4605</v>
      </c>
      <c r="L720" t="s">
        <v>4606</v>
      </c>
      <c r="M720" t="s">
        <v>27</v>
      </c>
      <c r="N720" t="s">
        <v>72</v>
      </c>
      <c r="O720" t="s">
        <v>59</v>
      </c>
      <c r="P720" t="s">
        <v>29</v>
      </c>
      <c r="Q720">
        <v>0</v>
      </c>
    </row>
    <row r="721" spans="1:17" x14ac:dyDescent="0.25">
      <c r="A721">
        <v>720</v>
      </c>
      <c r="B721" t="s">
        <v>4607</v>
      </c>
      <c r="C721" s="2">
        <v>36199</v>
      </c>
      <c r="D721">
        <v>27</v>
      </c>
      <c r="E721" t="s">
        <v>4608</v>
      </c>
      <c r="F721" s="1" t="s">
        <v>276</v>
      </c>
      <c r="G721" t="s">
        <v>277</v>
      </c>
      <c r="H721" t="s">
        <v>38</v>
      </c>
      <c r="I721" s="1" t="s">
        <v>4609</v>
      </c>
      <c r="J721" s="1" t="s">
        <v>4610</v>
      </c>
      <c r="K721" t="s">
        <v>4611</v>
      </c>
      <c r="L721" t="s">
        <v>4612</v>
      </c>
      <c r="M721" t="s">
        <v>27</v>
      </c>
      <c r="N721" t="s">
        <v>54</v>
      </c>
      <c r="O721" t="s">
        <v>50</v>
      </c>
      <c r="P721" t="s">
        <v>23</v>
      </c>
      <c r="Q721">
        <v>3</v>
      </c>
    </row>
    <row r="722" spans="1:17" x14ac:dyDescent="0.25">
      <c r="A722">
        <v>721</v>
      </c>
      <c r="B722" t="s">
        <v>4613</v>
      </c>
      <c r="C722" s="2">
        <v>24645</v>
      </c>
      <c r="D722">
        <v>59</v>
      </c>
      <c r="E722" t="s">
        <v>4614</v>
      </c>
      <c r="F722" s="1" t="s">
        <v>120</v>
      </c>
      <c r="G722" t="s">
        <v>121</v>
      </c>
      <c r="H722" t="s">
        <v>62</v>
      </c>
      <c r="I722" s="1" t="s">
        <v>4615</v>
      </c>
      <c r="J722" s="1" t="s">
        <v>4616</v>
      </c>
      <c r="K722" t="s">
        <v>4617</v>
      </c>
      <c r="L722" t="s">
        <v>4618</v>
      </c>
      <c r="M722" t="s">
        <v>27</v>
      </c>
      <c r="N722" t="s">
        <v>99</v>
      </c>
      <c r="O722" t="s">
        <v>40</v>
      </c>
      <c r="P722" t="s">
        <v>29</v>
      </c>
      <c r="Q722">
        <v>0</v>
      </c>
    </row>
    <row r="723" spans="1:17" x14ac:dyDescent="0.25">
      <c r="A723">
        <v>722</v>
      </c>
      <c r="B723" t="s">
        <v>4619</v>
      </c>
      <c r="C723" s="2">
        <v>31509</v>
      </c>
      <c r="D723">
        <v>40</v>
      </c>
      <c r="E723" t="s">
        <v>4620</v>
      </c>
      <c r="F723" s="1" t="s">
        <v>260</v>
      </c>
      <c r="G723" t="s">
        <v>261</v>
      </c>
      <c r="H723" t="s">
        <v>47</v>
      </c>
      <c r="I723" s="1" t="s">
        <v>4621</v>
      </c>
      <c r="J723" s="1" t="s">
        <v>4622</v>
      </c>
      <c r="K723" t="s">
        <v>4623</v>
      </c>
      <c r="L723" t="s">
        <v>4624</v>
      </c>
      <c r="M723" t="s">
        <v>33</v>
      </c>
      <c r="N723" t="s">
        <v>49</v>
      </c>
      <c r="O723" t="s">
        <v>40</v>
      </c>
      <c r="P723" t="s">
        <v>23</v>
      </c>
      <c r="Q723">
        <v>2</v>
      </c>
    </row>
    <row r="724" spans="1:17" x14ac:dyDescent="0.25">
      <c r="A724">
        <v>723</v>
      </c>
      <c r="B724" t="s">
        <v>4625</v>
      </c>
      <c r="C724" s="2">
        <v>33961</v>
      </c>
      <c r="D724">
        <v>34</v>
      </c>
      <c r="E724" t="s">
        <v>4626</v>
      </c>
      <c r="F724" s="1" t="s">
        <v>153</v>
      </c>
      <c r="G724" t="s">
        <v>154</v>
      </c>
      <c r="H724" t="s">
        <v>104</v>
      </c>
      <c r="I724" s="1" t="s">
        <v>4627</v>
      </c>
      <c r="J724" s="1" t="s">
        <v>4628</v>
      </c>
      <c r="K724" t="s">
        <v>4629</v>
      </c>
      <c r="L724" t="s">
        <v>4630</v>
      </c>
      <c r="M724" t="s">
        <v>33</v>
      </c>
      <c r="N724" t="s">
        <v>88</v>
      </c>
      <c r="O724" t="s">
        <v>59</v>
      </c>
      <c r="P724" t="s">
        <v>29</v>
      </c>
      <c r="Q724">
        <v>0</v>
      </c>
    </row>
    <row r="725" spans="1:17" x14ac:dyDescent="0.25">
      <c r="A725">
        <v>724</v>
      </c>
      <c r="B725" t="s">
        <v>4631</v>
      </c>
      <c r="C725" s="2">
        <v>33264</v>
      </c>
      <c r="D725">
        <v>35</v>
      </c>
      <c r="E725" t="s">
        <v>4632</v>
      </c>
      <c r="F725" s="1" t="s">
        <v>268</v>
      </c>
      <c r="G725" t="s">
        <v>269</v>
      </c>
      <c r="H725" t="s">
        <v>257</v>
      </c>
      <c r="I725" s="1" t="s">
        <v>4633</v>
      </c>
      <c r="J725" s="1" t="s">
        <v>4634</v>
      </c>
      <c r="K725" t="s">
        <v>4635</v>
      </c>
      <c r="L725" t="s">
        <v>4636</v>
      </c>
      <c r="M725" t="s">
        <v>27</v>
      </c>
      <c r="N725" t="s">
        <v>72</v>
      </c>
      <c r="O725" t="s">
        <v>22</v>
      </c>
      <c r="P725" t="s">
        <v>23</v>
      </c>
      <c r="Q725">
        <v>1</v>
      </c>
    </row>
    <row r="726" spans="1:17" x14ac:dyDescent="0.25">
      <c r="A726">
        <v>725</v>
      </c>
      <c r="B726" t="s">
        <v>4637</v>
      </c>
      <c r="C726" s="2">
        <v>22512</v>
      </c>
      <c r="D726">
        <v>65</v>
      </c>
      <c r="E726" t="s">
        <v>4638</v>
      </c>
      <c r="F726" s="1" t="s">
        <v>260</v>
      </c>
      <c r="G726" t="s">
        <v>261</v>
      </c>
      <c r="H726" t="s">
        <v>47</v>
      </c>
      <c r="I726" s="1" t="s">
        <v>4639</v>
      </c>
      <c r="J726" s="1" t="s">
        <v>4640</v>
      </c>
      <c r="K726" t="s">
        <v>4641</v>
      </c>
      <c r="L726" t="s">
        <v>4642</v>
      </c>
      <c r="M726" t="s">
        <v>48</v>
      </c>
      <c r="N726" t="s">
        <v>58</v>
      </c>
      <c r="O726" t="s">
        <v>50</v>
      </c>
      <c r="P726" t="s">
        <v>23</v>
      </c>
      <c r="Q726">
        <v>1</v>
      </c>
    </row>
    <row r="727" spans="1:17" x14ac:dyDescent="0.25">
      <c r="A727">
        <v>726</v>
      </c>
      <c r="B727" t="s">
        <v>4643</v>
      </c>
      <c r="C727" s="2">
        <v>27594</v>
      </c>
      <c r="D727">
        <v>51</v>
      </c>
      <c r="E727" t="s">
        <v>4644</v>
      </c>
      <c r="F727" s="1" t="s">
        <v>210</v>
      </c>
      <c r="G727" t="s">
        <v>211</v>
      </c>
      <c r="H727" t="s">
        <v>57</v>
      </c>
      <c r="I727" s="1" t="s">
        <v>4645</v>
      </c>
      <c r="J727" s="1" t="s">
        <v>4646</v>
      </c>
      <c r="K727" t="s">
        <v>4647</v>
      </c>
      <c r="L727" t="s">
        <v>4648</v>
      </c>
      <c r="M727" t="s">
        <v>20</v>
      </c>
      <c r="N727" t="s">
        <v>67</v>
      </c>
      <c r="O727" t="s">
        <v>40</v>
      </c>
      <c r="P727" t="s">
        <v>23</v>
      </c>
      <c r="Q727">
        <v>3</v>
      </c>
    </row>
    <row r="728" spans="1:17" x14ac:dyDescent="0.25">
      <c r="A728">
        <v>727</v>
      </c>
      <c r="B728" t="s">
        <v>4649</v>
      </c>
      <c r="C728" s="2">
        <v>25680</v>
      </c>
      <c r="D728">
        <v>56</v>
      </c>
      <c r="E728" t="s">
        <v>4650</v>
      </c>
      <c r="F728" s="1" t="s">
        <v>187</v>
      </c>
      <c r="G728" t="s">
        <v>188</v>
      </c>
      <c r="H728" t="s">
        <v>110</v>
      </c>
      <c r="I728" s="1" t="s">
        <v>4651</v>
      </c>
      <c r="J728" s="1" t="s">
        <v>4652</v>
      </c>
      <c r="K728" t="s">
        <v>4653</v>
      </c>
      <c r="L728" t="s">
        <v>4654</v>
      </c>
      <c r="M728" t="s">
        <v>27</v>
      </c>
      <c r="N728" t="s">
        <v>106</v>
      </c>
      <c r="O728" t="s">
        <v>40</v>
      </c>
      <c r="P728" t="s">
        <v>23</v>
      </c>
      <c r="Q728">
        <v>2</v>
      </c>
    </row>
    <row r="729" spans="1:17" x14ac:dyDescent="0.25">
      <c r="A729">
        <v>728</v>
      </c>
      <c r="B729" t="s">
        <v>4655</v>
      </c>
      <c r="C729" s="2">
        <v>31832</v>
      </c>
      <c r="D729">
        <v>39</v>
      </c>
      <c r="E729" t="s">
        <v>4656</v>
      </c>
      <c r="F729" s="1" t="s">
        <v>120</v>
      </c>
      <c r="G729" t="s">
        <v>121</v>
      </c>
      <c r="H729" t="s">
        <v>62</v>
      </c>
      <c r="I729" s="1" t="s">
        <v>4657</v>
      </c>
      <c r="J729" s="1" t="s">
        <v>4658</v>
      </c>
      <c r="K729" t="s">
        <v>4659</v>
      </c>
      <c r="L729" t="s">
        <v>4660</v>
      </c>
      <c r="M729" t="s">
        <v>27</v>
      </c>
      <c r="N729" t="s">
        <v>58</v>
      </c>
      <c r="O729" t="s">
        <v>35</v>
      </c>
      <c r="P729" t="s">
        <v>23</v>
      </c>
      <c r="Q729">
        <v>1</v>
      </c>
    </row>
    <row r="730" spans="1:17" x14ac:dyDescent="0.25">
      <c r="A730">
        <v>729</v>
      </c>
      <c r="B730" t="s">
        <v>4661</v>
      </c>
      <c r="C730" s="2">
        <v>33363</v>
      </c>
      <c r="D730">
        <v>35</v>
      </c>
      <c r="E730" t="s">
        <v>4662</v>
      </c>
      <c r="F730" s="1" t="s">
        <v>73</v>
      </c>
      <c r="G730" t="s">
        <v>74</v>
      </c>
      <c r="H730" t="s">
        <v>38</v>
      </c>
      <c r="I730" s="1" t="s">
        <v>4663</v>
      </c>
      <c r="J730" s="1" t="s">
        <v>4664</v>
      </c>
      <c r="K730" t="s">
        <v>4665</v>
      </c>
      <c r="L730" t="s">
        <v>4666</v>
      </c>
      <c r="M730" t="s">
        <v>48</v>
      </c>
      <c r="N730" t="s">
        <v>82</v>
      </c>
      <c r="O730" t="s">
        <v>50</v>
      </c>
      <c r="P730" t="s">
        <v>29</v>
      </c>
      <c r="Q730">
        <v>0</v>
      </c>
    </row>
    <row r="731" spans="1:17" x14ac:dyDescent="0.25">
      <c r="A731">
        <v>730</v>
      </c>
      <c r="B731" t="s">
        <v>4667</v>
      </c>
      <c r="C731" s="2">
        <v>37155</v>
      </c>
      <c r="D731">
        <v>25</v>
      </c>
      <c r="E731" t="s">
        <v>4668</v>
      </c>
      <c r="F731" s="1" t="s">
        <v>268</v>
      </c>
      <c r="G731" t="s">
        <v>269</v>
      </c>
      <c r="H731" t="s">
        <v>257</v>
      </c>
      <c r="I731" s="1" t="s">
        <v>4669</v>
      </c>
      <c r="J731" s="1" t="s">
        <v>4670</v>
      </c>
      <c r="K731" t="s">
        <v>4671</v>
      </c>
      <c r="L731" t="s">
        <v>4672</v>
      </c>
      <c r="M731" t="s">
        <v>33</v>
      </c>
      <c r="N731" t="s">
        <v>114</v>
      </c>
      <c r="O731" t="s">
        <v>22</v>
      </c>
      <c r="P731" t="s">
        <v>23</v>
      </c>
      <c r="Q731">
        <v>2</v>
      </c>
    </row>
    <row r="732" spans="1:17" x14ac:dyDescent="0.25">
      <c r="A732">
        <v>731</v>
      </c>
      <c r="B732" t="s">
        <v>4673</v>
      </c>
      <c r="C732" s="2">
        <v>31975</v>
      </c>
      <c r="D732">
        <v>39</v>
      </c>
      <c r="E732" t="s">
        <v>4674</v>
      </c>
      <c r="F732" s="1" t="s">
        <v>247</v>
      </c>
      <c r="G732" t="s">
        <v>248</v>
      </c>
      <c r="H732" t="s">
        <v>249</v>
      </c>
      <c r="I732" s="1" t="s">
        <v>4675</v>
      </c>
      <c r="J732" s="1" t="s">
        <v>4676</v>
      </c>
      <c r="K732" t="s">
        <v>4677</v>
      </c>
      <c r="L732" t="s">
        <v>4678</v>
      </c>
      <c r="M732" t="s">
        <v>27</v>
      </c>
      <c r="N732" t="s">
        <v>114</v>
      </c>
      <c r="O732" t="s">
        <v>50</v>
      </c>
      <c r="P732" t="s">
        <v>29</v>
      </c>
      <c r="Q732">
        <v>0</v>
      </c>
    </row>
    <row r="733" spans="1:17" x14ac:dyDescent="0.25">
      <c r="A733">
        <v>732</v>
      </c>
      <c r="B733" t="s">
        <v>4679</v>
      </c>
      <c r="C733" s="2">
        <v>29641</v>
      </c>
      <c r="D733">
        <v>45</v>
      </c>
      <c r="E733" t="s">
        <v>4680</v>
      </c>
      <c r="F733" s="1" t="s">
        <v>252</v>
      </c>
      <c r="G733" t="s">
        <v>253</v>
      </c>
      <c r="H733" t="s">
        <v>81</v>
      </c>
      <c r="I733" s="1" t="s">
        <v>4681</v>
      </c>
      <c r="J733" s="1" t="s">
        <v>4682</v>
      </c>
      <c r="K733" t="s">
        <v>4683</v>
      </c>
      <c r="L733" t="s">
        <v>4684</v>
      </c>
      <c r="M733" t="s">
        <v>27</v>
      </c>
      <c r="N733" t="s">
        <v>54</v>
      </c>
      <c r="O733" t="s">
        <v>40</v>
      </c>
      <c r="P733" t="s">
        <v>23</v>
      </c>
      <c r="Q733">
        <v>2</v>
      </c>
    </row>
    <row r="734" spans="1:17" x14ac:dyDescent="0.25">
      <c r="A734">
        <v>733</v>
      </c>
      <c r="B734" t="s">
        <v>4685</v>
      </c>
      <c r="C734" s="2">
        <v>26795</v>
      </c>
      <c r="D734">
        <v>53</v>
      </c>
      <c r="E734" t="s">
        <v>4686</v>
      </c>
      <c r="F734" s="1" t="s">
        <v>213</v>
      </c>
      <c r="G734" t="s">
        <v>214</v>
      </c>
      <c r="H734" t="s">
        <v>119</v>
      </c>
      <c r="I734" s="1" t="s">
        <v>4687</v>
      </c>
      <c r="J734" s="1" t="s">
        <v>4688</v>
      </c>
      <c r="K734" t="s">
        <v>4689</v>
      </c>
      <c r="L734" t="s">
        <v>4690</v>
      </c>
      <c r="M734" t="s">
        <v>48</v>
      </c>
      <c r="N734" t="s">
        <v>54</v>
      </c>
      <c r="O734" t="s">
        <v>50</v>
      </c>
      <c r="P734" t="s">
        <v>23</v>
      </c>
      <c r="Q734">
        <v>1</v>
      </c>
    </row>
    <row r="735" spans="1:17" x14ac:dyDescent="0.25">
      <c r="A735">
        <v>734</v>
      </c>
      <c r="B735" t="s">
        <v>4691</v>
      </c>
      <c r="C735" s="2">
        <v>36576</v>
      </c>
      <c r="D735">
        <v>26</v>
      </c>
      <c r="E735" t="s">
        <v>4692</v>
      </c>
      <c r="F735" s="1" t="s">
        <v>215</v>
      </c>
      <c r="G735" t="s">
        <v>216</v>
      </c>
      <c r="H735" t="s">
        <v>113</v>
      </c>
      <c r="I735" s="1" t="s">
        <v>4693</v>
      </c>
      <c r="J735" s="1" t="s">
        <v>4694</v>
      </c>
      <c r="K735" t="s">
        <v>4695</v>
      </c>
      <c r="L735" t="s">
        <v>4696</v>
      </c>
      <c r="M735" t="s">
        <v>27</v>
      </c>
      <c r="N735" t="s">
        <v>66</v>
      </c>
      <c r="O735" t="s">
        <v>40</v>
      </c>
      <c r="P735" t="s">
        <v>29</v>
      </c>
      <c r="Q735">
        <v>0</v>
      </c>
    </row>
    <row r="736" spans="1:17" x14ac:dyDescent="0.25">
      <c r="A736">
        <v>735</v>
      </c>
      <c r="B736" t="s">
        <v>4697</v>
      </c>
      <c r="C736" s="2">
        <v>37302</v>
      </c>
      <c r="D736">
        <v>24</v>
      </c>
      <c r="E736" t="s">
        <v>4698</v>
      </c>
      <c r="F736" s="1" t="s">
        <v>288</v>
      </c>
      <c r="G736" t="s">
        <v>289</v>
      </c>
      <c r="H736" t="s">
        <v>87</v>
      </c>
      <c r="I736" s="1" t="s">
        <v>4699</v>
      </c>
      <c r="J736" s="1" t="s">
        <v>4700</v>
      </c>
      <c r="K736" t="s">
        <v>4701</v>
      </c>
      <c r="L736" t="s">
        <v>4702</v>
      </c>
      <c r="M736" t="s">
        <v>48</v>
      </c>
      <c r="N736" t="s">
        <v>88</v>
      </c>
      <c r="O736" t="s">
        <v>40</v>
      </c>
      <c r="P736" t="s">
        <v>23</v>
      </c>
      <c r="Q736">
        <v>3</v>
      </c>
    </row>
    <row r="737" spans="1:17" x14ac:dyDescent="0.25">
      <c r="A737">
        <v>736</v>
      </c>
      <c r="B737" t="s">
        <v>4703</v>
      </c>
      <c r="C737" s="2">
        <v>32207</v>
      </c>
      <c r="D737">
        <v>38</v>
      </c>
      <c r="E737" t="s">
        <v>4704</v>
      </c>
      <c r="F737" s="1" t="s">
        <v>94</v>
      </c>
      <c r="G737" t="s">
        <v>95</v>
      </c>
      <c r="H737" t="s">
        <v>96</v>
      </c>
      <c r="I737" s="1" t="s">
        <v>4705</v>
      </c>
      <c r="J737" s="1" t="s">
        <v>4706</v>
      </c>
      <c r="K737" t="s">
        <v>4707</v>
      </c>
      <c r="L737" t="s">
        <v>4708</v>
      </c>
      <c r="M737" t="s">
        <v>27</v>
      </c>
      <c r="N737" t="s">
        <v>78</v>
      </c>
      <c r="O737" t="s">
        <v>40</v>
      </c>
      <c r="P737" t="s">
        <v>23</v>
      </c>
      <c r="Q737">
        <v>1</v>
      </c>
    </row>
    <row r="738" spans="1:17" x14ac:dyDescent="0.25">
      <c r="A738">
        <v>737</v>
      </c>
      <c r="B738" t="s">
        <v>4709</v>
      </c>
      <c r="C738" s="2">
        <v>29633</v>
      </c>
      <c r="D738">
        <v>45</v>
      </c>
      <c r="E738" t="s">
        <v>4710</v>
      </c>
      <c r="F738" s="1" t="s">
        <v>254</v>
      </c>
      <c r="G738" t="s">
        <v>105</v>
      </c>
      <c r="H738" t="s">
        <v>96</v>
      </c>
      <c r="I738" s="1" t="s">
        <v>4711</v>
      </c>
      <c r="J738" s="1" t="s">
        <v>4712</v>
      </c>
      <c r="K738" t="s">
        <v>4713</v>
      </c>
      <c r="L738" t="s">
        <v>4714</v>
      </c>
      <c r="M738" t="s">
        <v>33</v>
      </c>
      <c r="N738" t="s">
        <v>106</v>
      </c>
      <c r="O738" t="s">
        <v>59</v>
      </c>
      <c r="P738" t="s">
        <v>23</v>
      </c>
      <c r="Q738">
        <v>1</v>
      </c>
    </row>
    <row r="739" spans="1:17" x14ac:dyDescent="0.25">
      <c r="A739">
        <v>738</v>
      </c>
      <c r="B739" t="s">
        <v>4715</v>
      </c>
      <c r="C739" s="2">
        <v>37084</v>
      </c>
      <c r="D739">
        <v>25</v>
      </c>
      <c r="E739" t="s">
        <v>4716</v>
      </c>
      <c r="F739" s="1" t="s">
        <v>243</v>
      </c>
      <c r="G739" t="s">
        <v>244</v>
      </c>
      <c r="H739" t="s">
        <v>135</v>
      </c>
      <c r="I739" s="1" t="s">
        <v>4717</v>
      </c>
      <c r="J739" s="1" t="s">
        <v>4718</v>
      </c>
      <c r="K739" t="s">
        <v>4719</v>
      </c>
      <c r="L739" t="s">
        <v>4720</v>
      </c>
      <c r="M739" t="s">
        <v>27</v>
      </c>
      <c r="N739" t="s">
        <v>49</v>
      </c>
      <c r="O739" t="s">
        <v>40</v>
      </c>
      <c r="P739" t="s">
        <v>29</v>
      </c>
      <c r="Q739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Planilha2</vt:lpstr>
      <vt:lpstr>Planilha3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Fiuza</dc:creator>
  <cp:lastModifiedBy>Paulo Fiuza</cp:lastModifiedBy>
  <dcterms:created xsi:type="dcterms:W3CDTF">2026-06-06T13:53:59Z</dcterms:created>
  <dcterms:modified xsi:type="dcterms:W3CDTF">2026-06-08T00:00:23Z</dcterms:modified>
</cp:coreProperties>
</file>